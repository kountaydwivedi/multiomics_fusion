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multiomics based manuscript\REVISION AFTER JMS\OUP_BA_REVIEWER_COMMENTS\training_cohort\RESULTS\MLP\"/>
    </mc:Choice>
  </mc:AlternateContent>
  <bookViews>
    <workbookView xWindow="0" yWindow="0" windowWidth="38400" windowHeight="17730"/>
  </bookViews>
  <sheets>
    <sheet name="FINAL_CURATED_MLP" sheetId="1" r:id="rId1"/>
  </sheets>
  <calcPr calcId="162913"/>
</workbook>
</file>

<file path=xl/calcChain.xml><?xml version="1.0" encoding="utf-8"?>
<calcChain xmlns="http://schemas.openxmlformats.org/spreadsheetml/2006/main">
  <c r="R14" i="1" l="1"/>
  <c r="R15" i="1"/>
  <c r="R16" i="1"/>
  <c r="R17" i="1"/>
  <c r="R13" i="1"/>
  <c r="Q14" i="1"/>
  <c r="Q15" i="1"/>
  <c r="Q16" i="1"/>
  <c r="Q17" i="1"/>
  <c r="Q13" i="1"/>
  <c r="N28" i="1"/>
  <c r="N29" i="1"/>
  <c r="N30" i="1"/>
  <c r="N31" i="1"/>
  <c r="N27" i="1"/>
  <c r="M28" i="1"/>
  <c r="M29" i="1"/>
  <c r="M30" i="1"/>
  <c r="M31" i="1"/>
  <c r="M27" i="1"/>
  <c r="I17" i="1"/>
  <c r="I18" i="1"/>
  <c r="I19" i="1"/>
  <c r="I20" i="1"/>
  <c r="I16" i="1"/>
  <c r="H17" i="1"/>
  <c r="H18" i="1"/>
  <c r="H19" i="1"/>
  <c r="H20" i="1"/>
  <c r="H16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A8" i="1"/>
  <c r="A7" i="1" l="1"/>
  <c r="B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C7" i="1"/>
</calcChain>
</file>

<file path=xl/sharedStrings.xml><?xml version="1.0" encoding="utf-8"?>
<sst xmlns="http://schemas.openxmlformats.org/spreadsheetml/2006/main" count="54" uniqueCount="28">
  <si>
    <t>cnv_acc</t>
  </si>
  <si>
    <t>cnv_auroc</t>
  </si>
  <si>
    <t>cnv_tn</t>
  </si>
  <si>
    <t>cnv_fp</t>
  </si>
  <si>
    <t>cnv_fn</t>
  </si>
  <si>
    <t>cnv_tp</t>
  </si>
  <si>
    <t>rna_acc</t>
  </si>
  <si>
    <t>rna_auroc</t>
  </si>
  <si>
    <t>rna_tn</t>
  </si>
  <si>
    <t>rna_fp</t>
  </si>
  <si>
    <t>rna_fn</t>
  </si>
  <si>
    <t>rna_tp</t>
  </si>
  <si>
    <t>fuse_acc</t>
  </si>
  <si>
    <t>fuse_auroc</t>
  </si>
  <si>
    <t>fuse_tn</t>
  </si>
  <si>
    <t>fuse_fp</t>
  </si>
  <si>
    <t>fuse_fn</t>
  </si>
  <si>
    <t>fuse_tp</t>
  </si>
  <si>
    <t>Metric</t>
  </si>
  <si>
    <t>Value</t>
  </si>
  <si>
    <t>Precision</t>
  </si>
  <si>
    <t>Recall</t>
  </si>
  <si>
    <t>Specificity</t>
  </si>
  <si>
    <t>F1-score</t>
  </si>
  <si>
    <t>NPV</t>
  </si>
  <si>
    <t>cnv</t>
  </si>
  <si>
    <t>rna</t>
  </si>
  <si>
    <t>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</si>
</sst>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21" fillId="0" borderId="0" xfId="0" applyFont="1"/>
    <xf numFmtId="0" fontId="19" fillId="8" borderId="8" xfId="15" applyFont="1"/>
    <xf numFmtId="0" fontId="18" fillId="8" borderId="8" xfId="15" applyFont="1"/>
    <xf numFmtId="0" fontId="20" fillId="8" borderId="8" xfId="15" applyFont="1"/>
    <xf numFmtId="0" fontId="22" fillId="8" borderId="8" xfId="15" applyFont="1"/>
    <xf numFmtId="0" fontId="18" fillId="33" borderId="0" xfId="0" applyFont="1" applyFill="1"/>
    <xf numFmtId="0" fontId="20" fillId="33" borderId="0" xfId="0" applyFont="1" applyFill="1"/>
    <xf numFmtId="0" fontId="22" fillId="33" borderId="0" xfId="0" applyFont="1" applyFill="1"/>
    <xf numFmtId="0" fontId="18" fillId="34" borderId="0" xfId="0" applyFont="1" applyFill="1"/>
    <xf numFmtId="0" fontId="20" fillId="34" borderId="0" xfId="0" applyFont="1" applyFill="1"/>
    <xf numFmtId="0" fontId="22" fillId="34" borderId="0" xfId="0" applyFont="1" applyFill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tabSelected="1" topLeftCell="I1" zoomScaleNormal="100" workbookViewId="0">
      <pane ySplit="1" topLeftCell="A2" activePane="bottomLeft" state="frozen"/>
      <selection pane="bottomLeft" activeCell="M21" sqref="M21"/>
    </sheetView>
  </sheetViews>
  <sheetFormatPr defaultRowHeight="14.5" x14ac:dyDescent="0.35"/>
  <cols>
    <col min="1" max="18" width="15.6328125" customWidth="1"/>
  </cols>
  <sheetData>
    <row r="1" spans="1:18" ht="23.5" x14ac:dyDescent="0.5500000000000000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</row>
    <row r="2" spans="1:18" ht="23.5" x14ac:dyDescent="0.55000000000000004">
      <c r="A2" s="4">
        <v>0.89979757100000002</v>
      </c>
      <c r="B2" s="4">
        <v>0.956140459</v>
      </c>
      <c r="C2" s="4">
        <v>437</v>
      </c>
      <c r="D2" s="4">
        <v>46</v>
      </c>
      <c r="E2" s="4">
        <v>53</v>
      </c>
      <c r="F2" s="4">
        <v>452</v>
      </c>
      <c r="G2" s="7">
        <v>0.77530364399999996</v>
      </c>
      <c r="H2" s="7">
        <v>0.88674538300000005</v>
      </c>
      <c r="I2" s="7">
        <v>274</v>
      </c>
      <c r="J2" s="7">
        <v>209</v>
      </c>
      <c r="K2" s="7">
        <v>13</v>
      </c>
      <c r="L2" s="7">
        <v>492</v>
      </c>
      <c r="M2" s="10">
        <v>0.90182186200000003</v>
      </c>
      <c r="N2" s="10">
        <v>0.96485661</v>
      </c>
      <c r="O2" s="10">
        <v>438</v>
      </c>
      <c r="P2" s="10">
        <v>45</v>
      </c>
      <c r="Q2" s="10">
        <v>52</v>
      </c>
      <c r="R2" s="10">
        <v>453</v>
      </c>
    </row>
    <row r="3" spans="1:18" ht="23.5" x14ac:dyDescent="0.55000000000000004">
      <c r="A3" s="4">
        <v>0.90080971700000001</v>
      </c>
      <c r="B3" s="4">
        <v>0.95676362699999995</v>
      </c>
      <c r="C3" s="4">
        <v>432</v>
      </c>
      <c r="D3" s="4">
        <v>51</v>
      </c>
      <c r="E3" s="4">
        <v>47</v>
      </c>
      <c r="F3" s="4">
        <v>458</v>
      </c>
      <c r="G3" s="7">
        <v>0.86133603199999997</v>
      </c>
      <c r="H3" s="7">
        <v>0.94819506799999997</v>
      </c>
      <c r="I3" s="7">
        <v>359</v>
      </c>
      <c r="J3" s="7">
        <v>124</v>
      </c>
      <c r="K3" s="7">
        <v>13</v>
      </c>
      <c r="L3" s="7">
        <v>492</v>
      </c>
      <c r="M3" s="10">
        <v>0.92813765199999998</v>
      </c>
      <c r="N3" s="10">
        <v>0.97087509999999999</v>
      </c>
      <c r="O3" s="10">
        <v>441</v>
      </c>
      <c r="P3" s="10">
        <v>42</v>
      </c>
      <c r="Q3" s="10">
        <v>29</v>
      </c>
      <c r="R3" s="10">
        <v>476</v>
      </c>
    </row>
    <row r="4" spans="1:18" ht="23.5" x14ac:dyDescent="0.55000000000000004">
      <c r="A4" s="4">
        <v>0.91093117400000001</v>
      </c>
      <c r="B4" s="4">
        <v>0.96222044600000001</v>
      </c>
      <c r="C4" s="4">
        <v>438</v>
      </c>
      <c r="D4" s="4">
        <v>45</v>
      </c>
      <c r="E4" s="4">
        <v>43</v>
      </c>
      <c r="F4" s="4">
        <v>462</v>
      </c>
      <c r="G4" s="7">
        <v>0.85627530399999996</v>
      </c>
      <c r="H4" s="7">
        <v>0.94943935400000001</v>
      </c>
      <c r="I4" s="7">
        <v>458</v>
      </c>
      <c r="J4" s="7">
        <v>25</v>
      </c>
      <c r="K4" s="7">
        <v>117</v>
      </c>
      <c r="L4" s="7">
        <v>388</v>
      </c>
      <c r="M4" s="10">
        <v>0.93117408899999998</v>
      </c>
      <c r="N4" s="10">
        <v>0.97469200300000003</v>
      </c>
      <c r="O4" s="10">
        <v>446</v>
      </c>
      <c r="P4" s="10">
        <v>37</v>
      </c>
      <c r="Q4" s="10">
        <v>31</v>
      </c>
      <c r="R4" s="10">
        <v>474</v>
      </c>
    </row>
    <row r="5" spans="1:18" ht="23.5" x14ac:dyDescent="0.55000000000000004">
      <c r="A5" s="4">
        <v>0.9048583</v>
      </c>
      <c r="B5" s="4">
        <v>0.95556648799999999</v>
      </c>
      <c r="C5" s="4">
        <v>438</v>
      </c>
      <c r="D5" s="4">
        <v>45</v>
      </c>
      <c r="E5" s="4">
        <v>49</v>
      </c>
      <c r="F5" s="4">
        <v>456</v>
      </c>
      <c r="G5" s="7">
        <v>0.69230769199999997</v>
      </c>
      <c r="H5" s="7">
        <v>0.80256851799999995</v>
      </c>
      <c r="I5" s="7">
        <v>185</v>
      </c>
      <c r="J5" s="7">
        <v>298</v>
      </c>
      <c r="K5" s="7">
        <v>6</v>
      </c>
      <c r="L5" s="7">
        <v>499</v>
      </c>
      <c r="M5" s="10">
        <v>0.91396761100000001</v>
      </c>
      <c r="N5" s="10">
        <v>0.96467826899999998</v>
      </c>
      <c r="O5" s="10">
        <v>441</v>
      </c>
      <c r="P5" s="10">
        <v>42</v>
      </c>
      <c r="Q5" s="10">
        <v>43</v>
      </c>
      <c r="R5" s="10">
        <v>462</v>
      </c>
    </row>
    <row r="6" spans="1:18" ht="23.5" x14ac:dyDescent="0.55000000000000004">
      <c r="A6" s="4">
        <v>0.90789473700000001</v>
      </c>
      <c r="B6" s="4">
        <v>0.96279236599999996</v>
      </c>
      <c r="C6" s="4">
        <v>435</v>
      </c>
      <c r="D6" s="4">
        <v>48</v>
      </c>
      <c r="E6" s="4">
        <v>43</v>
      </c>
      <c r="F6" s="4">
        <v>462</v>
      </c>
      <c r="G6" s="7">
        <v>0.81781376500000003</v>
      </c>
      <c r="H6" s="7">
        <v>0.91620236600000005</v>
      </c>
      <c r="I6" s="7">
        <v>423</v>
      </c>
      <c r="J6" s="7">
        <v>60</v>
      </c>
      <c r="K6" s="7">
        <v>120</v>
      </c>
      <c r="L6" s="7">
        <v>385</v>
      </c>
      <c r="M6" s="10">
        <v>0.92307692299999999</v>
      </c>
      <c r="N6" s="10">
        <v>0.96619724100000004</v>
      </c>
      <c r="O6" s="10">
        <v>438</v>
      </c>
      <c r="P6" s="10">
        <v>45</v>
      </c>
      <c r="Q6" s="10">
        <v>31</v>
      </c>
      <c r="R6" s="10">
        <v>474</v>
      </c>
    </row>
    <row r="7" spans="1:18" s="1" customFormat="1" ht="26" x14ac:dyDescent="0.6">
      <c r="A7" s="5">
        <f t="shared" ref="A7:B7" si="0">AVERAGE(A2:A6)</f>
        <v>0.9048582998000001</v>
      </c>
      <c r="B7" s="5">
        <f t="shared" si="0"/>
        <v>0.95869667720000007</v>
      </c>
      <c r="C7" s="5">
        <f>AVERAGE(C2:C6)</f>
        <v>436</v>
      </c>
      <c r="D7" s="5">
        <f t="shared" ref="D7:R7" si="1">AVERAGE(D2:D6)</f>
        <v>47</v>
      </c>
      <c r="E7" s="5">
        <f t="shared" si="1"/>
        <v>47</v>
      </c>
      <c r="F7" s="5">
        <f t="shared" si="1"/>
        <v>458</v>
      </c>
      <c r="G7" s="8">
        <f t="shared" si="1"/>
        <v>0.80060728740000009</v>
      </c>
      <c r="H7" s="8">
        <f t="shared" si="1"/>
        <v>0.90063013780000001</v>
      </c>
      <c r="I7" s="8">
        <f t="shared" si="1"/>
        <v>339.8</v>
      </c>
      <c r="J7" s="8">
        <f t="shared" si="1"/>
        <v>143.19999999999999</v>
      </c>
      <c r="K7" s="8">
        <f t="shared" si="1"/>
        <v>53.8</v>
      </c>
      <c r="L7" s="8">
        <f t="shared" si="1"/>
        <v>451.2</v>
      </c>
      <c r="M7" s="11">
        <f t="shared" si="1"/>
        <v>0.91963562739999993</v>
      </c>
      <c r="N7" s="11">
        <f t="shared" si="1"/>
        <v>0.96825984460000003</v>
      </c>
      <c r="O7" s="11">
        <f t="shared" si="1"/>
        <v>440.8</v>
      </c>
      <c r="P7" s="11">
        <f t="shared" si="1"/>
        <v>42.2</v>
      </c>
      <c r="Q7" s="11">
        <f t="shared" si="1"/>
        <v>37.200000000000003</v>
      </c>
      <c r="R7" s="11">
        <f t="shared" si="1"/>
        <v>467.8</v>
      </c>
    </row>
    <row r="8" spans="1:18" x14ac:dyDescent="0.35">
      <c r="A8">
        <f>STDEV(A2:A6)</f>
        <v>4.6931266388777187E-3</v>
      </c>
      <c r="B8">
        <f t="shared" ref="B8:R8" si="2">STDEV(B2:B6)</f>
        <v>3.5092959511783392E-3</v>
      </c>
      <c r="C8">
        <f t="shared" si="2"/>
        <v>2.5495097567963922</v>
      </c>
      <c r="D8">
        <f t="shared" si="2"/>
        <v>2.5495097567963922</v>
      </c>
      <c r="E8">
        <f t="shared" si="2"/>
        <v>4.2426406871192848</v>
      </c>
      <c r="F8">
        <f t="shared" si="2"/>
        <v>4.2426406871192848</v>
      </c>
      <c r="G8">
        <f t="shared" si="2"/>
        <v>6.9735299700702635E-2</v>
      </c>
      <c r="H8">
        <f t="shared" si="2"/>
        <v>6.0613785881922053E-2</v>
      </c>
      <c r="I8">
        <f t="shared" si="2"/>
        <v>111.30453719413244</v>
      </c>
      <c r="J8">
        <f t="shared" si="2"/>
        <v>111.30453719413239</v>
      </c>
      <c r="K8">
        <f t="shared" si="2"/>
        <v>59.141356088611964</v>
      </c>
      <c r="L8">
        <f t="shared" si="2"/>
        <v>59.141356088612071</v>
      </c>
      <c r="M8">
        <f t="shared" si="2"/>
        <v>1.1902937467671197E-2</v>
      </c>
      <c r="N8">
        <f t="shared" si="2"/>
        <v>4.3839549958286945E-3</v>
      </c>
      <c r="O8">
        <f t="shared" si="2"/>
        <v>3.271085446759225</v>
      </c>
      <c r="P8">
        <f t="shared" si="2"/>
        <v>3.271085446759225</v>
      </c>
      <c r="Q8">
        <f t="shared" si="2"/>
        <v>9.9599196783909889</v>
      </c>
      <c r="R8">
        <f t="shared" si="2"/>
        <v>9.9599196783909854</v>
      </c>
    </row>
    <row r="12" spans="1:18" x14ac:dyDescent="0.35">
      <c r="J12" s="14" t="s">
        <v>27</v>
      </c>
      <c r="K12" s="12" t="s">
        <v>18</v>
      </c>
      <c r="L12" s="12" t="s">
        <v>19</v>
      </c>
      <c r="M12" s="12" t="s">
        <v>19</v>
      </c>
      <c r="N12" s="12" t="s">
        <v>19</v>
      </c>
      <c r="O12" s="12" t="s">
        <v>19</v>
      </c>
      <c r="P12" s="12" t="s">
        <v>19</v>
      </c>
    </row>
    <row r="13" spans="1:18" x14ac:dyDescent="0.35">
      <c r="J13" s="14"/>
      <c r="K13" s="13" t="s">
        <v>20</v>
      </c>
      <c r="L13" s="13">
        <v>0.90969999999999995</v>
      </c>
      <c r="M13" s="13">
        <v>0.91900000000000004</v>
      </c>
      <c r="N13" s="13">
        <v>0.92759999999999998</v>
      </c>
      <c r="O13" s="13">
        <v>0.91669999999999996</v>
      </c>
      <c r="P13" s="13">
        <v>0.9133</v>
      </c>
      <c r="Q13">
        <f>AVERAGE(L13:P13)</f>
        <v>0.91725999999999996</v>
      </c>
      <c r="R13">
        <f>STDEV(L13:P13)</f>
        <v>6.7655746245237824E-3</v>
      </c>
    </row>
    <row r="14" spans="1:18" x14ac:dyDescent="0.35">
      <c r="J14" s="14"/>
      <c r="K14" s="13" t="s">
        <v>21</v>
      </c>
      <c r="L14" s="13">
        <v>0.89700000000000002</v>
      </c>
      <c r="M14" s="13">
        <v>0.94259999999999999</v>
      </c>
      <c r="N14" s="13">
        <v>0.93859999999999999</v>
      </c>
      <c r="O14" s="13">
        <v>0.91490000000000005</v>
      </c>
      <c r="P14" s="13">
        <v>0.93859999999999999</v>
      </c>
      <c r="Q14">
        <f t="shared" ref="Q14:Q17" si="3">AVERAGE(L14:P14)</f>
        <v>0.92634000000000005</v>
      </c>
      <c r="R14">
        <f t="shared" ref="R14:R17" si="4">STDEV(L14:P14)</f>
        <v>1.9727594886351434E-2</v>
      </c>
    </row>
    <row r="15" spans="1:18" x14ac:dyDescent="0.35">
      <c r="A15" s="14" t="s">
        <v>25</v>
      </c>
      <c r="B15" s="12" t="s">
        <v>18</v>
      </c>
      <c r="C15" s="12" t="s">
        <v>19</v>
      </c>
      <c r="D15" s="12" t="s">
        <v>19</v>
      </c>
      <c r="E15" s="12" t="s">
        <v>19</v>
      </c>
      <c r="F15" s="12" t="s">
        <v>19</v>
      </c>
      <c r="G15" s="12" t="s">
        <v>19</v>
      </c>
      <c r="J15" s="14"/>
      <c r="K15" s="13" t="s">
        <v>22</v>
      </c>
      <c r="L15" s="13">
        <v>0.90700000000000003</v>
      </c>
      <c r="M15" s="13">
        <v>0.91310000000000002</v>
      </c>
      <c r="N15" s="13">
        <v>0.9234</v>
      </c>
      <c r="O15" s="13">
        <v>0.91310000000000002</v>
      </c>
      <c r="P15" s="13">
        <v>0.90700000000000003</v>
      </c>
      <c r="Q15">
        <f t="shared" si="3"/>
        <v>0.91271999999999998</v>
      </c>
      <c r="R15">
        <f t="shared" si="4"/>
        <v>6.70425238188419E-3</v>
      </c>
    </row>
    <row r="16" spans="1:18" x14ac:dyDescent="0.35">
      <c r="A16" s="14"/>
      <c r="B16" s="13" t="s">
        <v>20</v>
      </c>
      <c r="C16" s="13">
        <v>0.90759999999999996</v>
      </c>
      <c r="D16" s="13">
        <v>0.90029999999999999</v>
      </c>
      <c r="E16" s="13">
        <v>0.91120000000000001</v>
      </c>
      <c r="F16" s="13">
        <v>0.91020000000000001</v>
      </c>
      <c r="G16" s="13">
        <v>0.90610000000000002</v>
      </c>
      <c r="H16">
        <f>AVERAGE(C16:G16)</f>
        <v>0.90708</v>
      </c>
      <c r="I16">
        <f>STDEV(C16:G16)</f>
        <v>4.2984881062997082E-3</v>
      </c>
      <c r="J16" s="14"/>
      <c r="K16" s="13" t="s">
        <v>23</v>
      </c>
      <c r="L16" s="13">
        <v>0.90329999999999999</v>
      </c>
      <c r="M16" s="13">
        <v>0.93069999999999997</v>
      </c>
      <c r="N16" s="13">
        <v>0.93300000000000005</v>
      </c>
      <c r="O16" s="13">
        <v>0.91579999999999995</v>
      </c>
      <c r="P16" s="13">
        <v>0.92569999999999997</v>
      </c>
      <c r="Q16">
        <f t="shared" si="3"/>
        <v>0.92170000000000007</v>
      </c>
      <c r="R16">
        <f t="shared" si="4"/>
        <v>1.2227632640867174E-2</v>
      </c>
    </row>
    <row r="17" spans="1:18" x14ac:dyDescent="0.35">
      <c r="A17" s="14"/>
      <c r="B17" s="13" t="s">
        <v>21</v>
      </c>
      <c r="C17" s="13">
        <v>0.89510000000000001</v>
      </c>
      <c r="D17" s="13">
        <v>0.90690000000000004</v>
      </c>
      <c r="E17" s="13">
        <v>0.91490000000000005</v>
      </c>
      <c r="F17" s="13">
        <v>0.90280000000000005</v>
      </c>
      <c r="G17" s="13">
        <v>0.91490000000000005</v>
      </c>
      <c r="H17">
        <f t="shared" ref="H17:H20" si="5">AVERAGE(C17:G17)</f>
        <v>0.90692000000000006</v>
      </c>
      <c r="I17">
        <f t="shared" ref="I17:I20" si="6">STDEV(C17:G17)</f>
        <v>8.4268618120864093E-3</v>
      </c>
      <c r="J17" s="14"/>
      <c r="K17" s="13" t="s">
        <v>24</v>
      </c>
      <c r="L17" s="13">
        <v>0.89390000000000003</v>
      </c>
      <c r="M17" s="13">
        <v>0.93840000000000001</v>
      </c>
      <c r="N17" s="13">
        <v>0.93510000000000004</v>
      </c>
      <c r="O17" s="13">
        <v>0.91120000000000001</v>
      </c>
      <c r="P17" s="13">
        <v>0.93400000000000005</v>
      </c>
      <c r="Q17">
        <f t="shared" si="3"/>
        <v>0.92252000000000012</v>
      </c>
      <c r="R17">
        <f t="shared" si="4"/>
        <v>1.9296813208403096E-2</v>
      </c>
    </row>
    <row r="18" spans="1:18" x14ac:dyDescent="0.35">
      <c r="A18" s="14"/>
      <c r="B18" s="13" t="s">
        <v>22</v>
      </c>
      <c r="C18" s="13">
        <v>0.90469999999999995</v>
      </c>
      <c r="D18" s="13">
        <v>0.89459999999999995</v>
      </c>
      <c r="E18" s="13">
        <v>0.90700000000000003</v>
      </c>
      <c r="F18" s="13">
        <v>0.90700000000000003</v>
      </c>
      <c r="G18" s="13">
        <v>0.90080000000000005</v>
      </c>
      <c r="H18">
        <f t="shared" si="5"/>
        <v>0.90281999999999996</v>
      </c>
      <c r="I18">
        <f t="shared" si="6"/>
        <v>5.247094434065412E-3</v>
      </c>
    </row>
    <row r="19" spans="1:18" x14ac:dyDescent="0.35">
      <c r="A19" s="14"/>
      <c r="B19" s="13" t="s">
        <v>23</v>
      </c>
      <c r="C19" s="13">
        <v>0.90129999999999999</v>
      </c>
      <c r="D19" s="13">
        <v>0.90359999999999996</v>
      </c>
      <c r="E19" s="13">
        <v>0.91310000000000002</v>
      </c>
      <c r="F19" s="13">
        <v>0.90649999999999997</v>
      </c>
      <c r="G19" s="13">
        <v>0.91049999999999998</v>
      </c>
      <c r="H19">
        <f t="shared" si="5"/>
        <v>0.90700000000000003</v>
      </c>
      <c r="I19">
        <f t="shared" si="6"/>
        <v>4.841487374764095E-3</v>
      </c>
    </row>
    <row r="20" spans="1:18" x14ac:dyDescent="0.35">
      <c r="A20" s="14"/>
      <c r="B20" s="13" t="s">
        <v>24</v>
      </c>
      <c r="C20" s="13">
        <v>0.89180000000000004</v>
      </c>
      <c r="D20" s="13">
        <v>0.90190000000000003</v>
      </c>
      <c r="E20" s="13">
        <v>0.91049999999999998</v>
      </c>
      <c r="F20" s="13">
        <v>0.89970000000000006</v>
      </c>
      <c r="G20" s="13">
        <v>0.91</v>
      </c>
      <c r="H20">
        <f t="shared" si="5"/>
        <v>0.90278000000000014</v>
      </c>
      <c r="I20">
        <f t="shared" si="6"/>
        <v>7.78697630662889E-3</v>
      </c>
    </row>
    <row r="26" spans="1:18" x14ac:dyDescent="0.35">
      <c r="F26" s="14" t="s">
        <v>26</v>
      </c>
      <c r="G26" s="12" t="s">
        <v>18</v>
      </c>
      <c r="H26" s="12" t="s">
        <v>19</v>
      </c>
      <c r="I26" s="12" t="s">
        <v>19</v>
      </c>
      <c r="J26" s="12" t="s">
        <v>19</v>
      </c>
      <c r="K26" s="12" t="s">
        <v>19</v>
      </c>
      <c r="L26" s="12" t="s">
        <v>19</v>
      </c>
    </row>
    <row r="27" spans="1:18" x14ac:dyDescent="0.35">
      <c r="F27" s="14"/>
      <c r="G27" s="13" t="s">
        <v>20</v>
      </c>
      <c r="H27" s="13">
        <v>0.70189999999999997</v>
      </c>
      <c r="I27" s="13">
        <v>0.79859999999999998</v>
      </c>
      <c r="J27" s="13">
        <v>0.9395</v>
      </c>
      <c r="K27" s="13">
        <v>0.62549999999999994</v>
      </c>
      <c r="L27" s="13">
        <v>0.86499999999999999</v>
      </c>
      <c r="M27">
        <f>AVERAGE(H27:L27)</f>
        <v>0.78610000000000002</v>
      </c>
      <c r="N27">
        <f>STDEV(H27:L27)</f>
        <v>0.12529467267206429</v>
      </c>
    </row>
    <row r="28" spans="1:18" x14ac:dyDescent="0.35">
      <c r="F28" s="14"/>
      <c r="G28" s="13" t="s">
        <v>21</v>
      </c>
      <c r="H28" s="13">
        <v>0.97419999999999995</v>
      </c>
      <c r="I28" s="13">
        <v>0.97419999999999995</v>
      </c>
      <c r="J28" s="13">
        <v>0.76890000000000003</v>
      </c>
      <c r="K28" s="13">
        <v>0.98809999999999998</v>
      </c>
      <c r="L28" s="13">
        <v>0.7621</v>
      </c>
      <c r="M28">
        <f t="shared" ref="M28:M31" si="7">AVERAGE(H28:L28)</f>
        <v>0.89350000000000007</v>
      </c>
      <c r="N28">
        <f t="shared" ref="N28:N31" si="8">STDEV(H28:L28)</f>
        <v>0.11700989274416018</v>
      </c>
    </row>
    <row r="29" spans="1:18" x14ac:dyDescent="0.35">
      <c r="F29" s="14"/>
      <c r="G29" s="13" t="s">
        <v>22</v>
      </c>
      <c r="H29" s="13">
        <v>0.56699999999999995</v>
      </c>
      <c r="I29" s="13">
        <v>0.74360000000000004</v>
      </c>
      <c r="J29" s="13">
        <v>0.94830000000000003</v>
      </c>
      <c r="K29" s="13">
        <v>0.3821</v>
      </c>
      <c r="L29" s="13">
        <v>0.87649999999999995</v>
      </c>
      <c r="M29">
        <f t="shared" si="7"/>
        <v>0.70350000000000001</v>
      </c>
      <c r="N29">
        <f t="shared" si="8"/>
        <v>0.23097308284733109</v>
      </c>
    </row>
    <row r="30" spans="1:18" x14ac:dyDescent="0.35">
      <c r="F30" s="14"/>
      <c r="G30" s="13" t="s">
        <v>23</v>
      </c>
      <c r="H30" s="13">
        <v>0.81420000000000003</v>
      </c>
      <c r="I30" s="13">
        <v>0.87639999999999996</v>
      </c>
      <c r="J30" s="13">
        <v>0.84660000000000002</v>
      </c>
      <c r="K30" s="13">
        <v>0.76259999999999994</v>
      </c>
      <c r="L30" s="13">
        <v>0.81059999999999999</v>
      </c>
      <c r="M30">
        <f t="shared" si="7"/>
        <v>0.82208000000000003</v>
      </c>
      <c r="N30">
        <f t="shared" si="8"/>
        <v>4.2672145481566781E-2</v>
      </c>
    </row>
    <row r="31" spans="1:18" x14ac:dyDescent="0.35">
      <c r="F31" s="14"/>
      <c r="G31" s="13" t="s">
        <v>24</v>
      </c>
      <c r="H31" s="13">
        <v>0.95469999999999999</v>
      </c>
      <c r="I31" s="13">
        <v>0.96499999999999997</v>
      </c>
      <c r="J31" s="13">
        <v>0.79630000000000001</v>
      </c>
      <c r="K31" s="13">
        <v>0.96850000000000003</v>
      </c>
      <c r="L31" s="13">
        <v>0.77980000000000005</v>
      </c>
      <c r="M31">
        <f t="shared" si="7"/>
        <v>0.8928600000000001</v>
      </c>
      <c r="N31">
        <f t="shared" si="8"/>
        <v>9.5989806750508652E-2</v>
      </c>
    </row>
  </sheetData>
  <mergeCells count="3">
    <mergeCell ref="A15:A20"/>
    <mergeCell ref="F26:F31"/>
    <mergeCell ref="J12:J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FINAL_CURATED_MLP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DWIVEDI Kountay</dc:creator>
  <cp:lastModifiedBy>DWIVEDI Kountay</cp:lastModifiedBy>
  <dcterms:created xsi:type="dcterms:W3CDTF">2025-11-13T14:58:42Z</dcterms:created>
  <dcterms:modified xsi:type="dcterms:W3CDTF">2025-11-20T11:24:37Z</dcterms:modified>
</cp:coreProperties>
</file>