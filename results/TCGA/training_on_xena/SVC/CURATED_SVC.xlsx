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ultiomics based manuscript\REVISION AFTER JMS\OUP_BA_REVIEWER_COMMENTS\training_cohort\RESULTS\SVC\"/>
    </mc:Choice>
  </mc:AlternateContent>
  <bookViews>
    <workbookView xWindow="0" yWindow="0" windowWidth="38400" windowHeight="17730"/>
  </bookViews>
  <sheets>
    <sheet name="FINAL_CURATED_SVC" sheetId="1" r:id="rId1"/>
  </sheets>
  <calcPr calcId="162913"/>
</workbook>
</file>

<file path=xl/calcChain.xml><?xml version="1.0" encoding="utf-8"?>
<calcChain xmlns="http://schemas.openxmlformats.org/spreadsheetml/2006/main">
  <c r="S14" i="1" l="1"/>
  <c r="S15" i="1"/>
  <c r="S16" i="1"/>
  <c r="S17" i="1"/>
  <c r="S13" i="1"/>
  <c r="R14" i="1"/>
  <c r="R15" i="1"/>
  <c r="R16" i="1"/>
  <c r="R17" i="1"/>
  <c r="R13" i="1"/>
  <c r="M24" i="1"/>
  <c r="M25" i="1"/>
  <c r="M26" i="1"/>
  <c r="M27" i="1"/>
  <c r="M23" i="1"/>
  <c r="L24" i="1"/>
  <c r="L25" i="1"/>
  <c r="L26" i="1"/>
  <c r="L27" i="1"/>
  <c r="L23" i="1"/>
  <c r="I14" i="1"/>
  <c r="I15" i="1"/>
  <c r="I16" i="1"/>
  <c r="I17" i="1"/>
  <c r="I13" i="1"/>
  <c r="H14" i="1"/>
  <c r="H15" i="1"/>
  <c r="H16" i="1"/>
  <c r="H17" i="1"/>
  <c r="H13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A8" i="1"/>
  <c r="B7" i="1" l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A7" i="1"/>
</calcChain>
</file>

<file path=xl/sharedStrings.xml><?xml version="1.0" encoding="utf-8"?>
<sst xmlns="http://schemas.openxmlformats.org/spreadsheetml/2006/main" count="54" uniqueCount="28">
  <si>
    <t>cnv_acc</t>
  </si>
  <si>
    <t>cnv_auroc</t>
  </si>
  <si>
    <t>cnv_tn</t>
  </si>
  <si>
    <t>cnv_fp</t>
  </si>
  <si>
    <t>cnv_fn</t>
  </si>
  <si>
    <t>cnv_tp</t>
  </si>
  <si>
    <t>rna_acc</t>
  </si>
  <si>
    <t>rna_auroc</t>
  </si>
  <si>
    <t>rna_tn</t>
  </si>
  <si>
    <t>rna_fp</t>
  </si>
  <si>
    <t>rna_fn</t>
  </si>
  <si>
    <t>rna_tp</t>
  </si>
  <si>
    <t>fuse_acc</t>
  </si>
  <si>
    <t>fuse_auroc</t>
  </si>
  <si>
    <t>fuse_tn</t>
  </si>
  <si>
    <t>fuse_fp</t>
  </si>
  <si>
    <t>fuse_fn</t>
  </si>
  <si>
    <t>fuse_tp</t>
  </si>
  <si>
    <t>Metric</t>
  </si>
  <si>
    <t>Value</t>
  </si>
  <si>
    <t>Precision</t>
  </si>
  <si>
    <t>Recall</t>
  </si>
  <si>
    <t>Specificity</t>
  </si>
  <si>
    <t>F1-score</t>
  </si>
  <si>
    <t>NPV</t>
  </si>
  <si>
    <t>cnv</t>
  </si>
  <si>
    <t>rna</t>
  </si>
  <si>
    <t>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</si>
</sst>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/>
    <xf numFmtId="0" fontId="19" fillId="33" borderId="0" xfId="0" applyFont="1" applyFill="1"/>
    <xf numFmtId="0" fontId="20" fillId="33" borderId="0" xfId="0" applyFont="1" applyFill="1"/>
    <xf numFmtId="0" fontId="18" fillId="33" borderId="0" xfId="0" applyFont="1" applyFill="1"/>
    <xf numFmtId="0" fontId="19" fillId="34" borderId="0" xfId="0" applyFont="1" applyFill="1"/>
    <xf numFmtId="0" fontId="20" fillId="34" borderId="0" xfId="0" applyFont="1" applyFill="1"/>
    <xf numFmtId="0" fontId="18" fillId="34" borderId="0" xfId="0" applyFont="1" applyFill="1"/>
    <xf numFmtId="0" fontId="19" fillId="35" borderId="0" xfId="0" applyFont="1" applyFill="1"/>
    <xf numFmtId="0" fontId="20" fillId="35" borderId="0" xfId="0" applyFont="1" applyFill="1"/>
    <xf numFmtId="0" fontId="18" fillId="35" borderId="0" xfId="0" applyFont="1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C1" zoomScale="115" zoomScaleNormal="115" workbookViewId="0">
      <pane ySplit="1" topLeftCell="A2" activePane="bottomLeft" state="frozen"/>
      <selection pane="bottomLeft" activeCell="J33" sqref="J33"/>
    </sheetView>
  </sheetViews>
  <sheetFormatPr defaultRowHeight="14.5" x14ac:dyDescent="0.35"/>
  <cols>
    <col min="1" max="1" width="15.6328125" customWidth="1"/>
    <col min="2" max="2" width="17.1796875" bestFit="1" customWidth="1"/>
    <col min="3" max="7" width="15.6328125" customWidth="1"/>
    <col min="8" max="8" width="17.1796875" bestFit="1" customWidth="1"/>
    <col min="9" max="13" width="15.6328125" customWidth="1"/>
    <col min="14" max="14" width="18.08984375" bestFit="1" customWidth="1"/>
    <col min="15" max="18" width="15.6328125" customWidth="1"/>
  </cols>
  <sheetData>
    <row r="1" spans="1:19" s="1" customFormat="1" ht="26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9" ht="21" x14ac:dyDescent="0.5">
      <c r="A2" s="3">
        <v>0.91902834</v>
      </c>
      <c r="B2" s="3">
        <v>0.96176126900000003</v>
      </c>
      <c r="C2" s="3">
        <v>430</v>
      </c>
      <c r="D2" s="3">
        <v>53</v>
      </c>
      <c r="E2" s="3">
        <v>27</v>
      </c>
      <c r="F2" s="3">
        <v>478</v>
      </c>
      <c r="G2" s="6">
        <v>0.95141700399999996</v>
      </c>
      <c r="H2" s="6">
        <v>0.98759403899999998</v>
      </c>
      <c r="I2" s="6">
        <v>445</v>
      </c>
      <c r="J2" s="6">
        <v>38</v>
      </c>
      <c r="K2" s="6">
        <v>10</v>
      </c>
      <c r="L2" s="6">
        <v>495</v>
      </c>
      <c r="M2" s="9">
        <v>0.95344129600000005</v>
      </c>
      <c r="N2" s="9">
        <v>0.98149765300000003</v>
      </c>
      <c r="O2" s="9">
        <v>452</v>
      </c>
      <c r="P2" s="9">
        <v>31</v>
      </c>
      <c r="Q2" s="9">
        <v>15</v>
      </c>
      <c r="R2" s="9">
        <v>490</v>
      </c>
    </row>
    <row r="3" spans="1:19" ht="21" x14ac:dyDescent="0.5">
      <c r="A3" s="3">
        <v>0.92105263199999998</v>
      </c>
      <c r="B3" s="3">
        <v>0.96177356899999999</v>
      </c>
      <c r="C3" s="3">
        <v>433</v>
      </c>
      <c r="D3" s="3">
        <v>50</v>
      </c>
      <c r="E3" s="3">
        <v>28</v>
      </c>
      <c r="F3" s="3">
        <v>477</v>
      </c>
      <c r="G3" s="6">
        <v>0.95141700399999996</v>
      </c>
      <c r="H3" s="6">
        <v>0.98690527400000005</v>
      </c>
      <c r="I3" s="6">
        <v>445</v>
      </c>
      <c r="J3" s="6">
        <v>38</v>
      </c>
      <c r="K3" s="6">
        <v>10</v>
      </c>
      <c r="L3" s="6">
        <v>495</v>
      </c>
      <c r="M3" s="9">
        <v>0.95242914999999995</v>
      </c>
      <c r="N3" s="9">
        <v>0.98030051500000004</v>
      </c>
      <c r="O3" s="9">
        <v>451</v>
      </c>
      <c r="P3" s="9">
        <v>32</v>
      </c>
      <c r="Q3" s="9">
        <v>15</v>
      </c>
      <c r="R3" s="9">
        <v>490</v>
      </c>
    </row>
    <row r="4" spans="1:19" ht="21" x14ac:dyDescent="0.5">
      <c r="A4" s="3">
        <v>0.92307692299999999</v>
      </c>
      <c r="B4" s="3">
        <v>0.96109710299999995</v>
      </c>
      <c r="C4" s="3">
        <v>434</v>
      </c>
      <c r="D4" s="3">
        <v>49</v>
      </c>
      <c r="E4" s="3">
        <v>27</v>
      </c>
      <c r="F4" s="3">
        <v>478</v>
      </c>
      <c r="G4" s="6">
        <v>0.95141700399999996</v>
      </c>
      <c r="H4" s="6">
        <v>0.98766783499999999</v>
      </c>
      <c r="I4" s="6">
        <v>445</v>
      </c>
      <c r="J4" s="6">
        <v>38</v>
      </c>
      <c r="K4" s="6">
        <v>10</v>
      </c>
      <c r="L4" s="6">
        <v>495</v>
      </c>
      <c r="M4" s="9">
        <v>0.95242914999999995</v>
      </c>
      <c r="N4" s="9">
        <v>0.980636697</v>
      </c>
      <c r="O4" s="9">
        <v>451</v>
      </c>
      <c r="P4" s="9">
        <v>32</v>
      </c>
      <c r="Q4" s="9">
        <v>15</v>
      </c>
      <c r="R4" s="9">
        <v>490</v>
      </c>
    </row>
    <row r="5" spans="1:19" ht="21" x14ac:dyDescent="0.5">
      <c r="A5" s="3">
        <v>0.922064777</v>
      </c>
      <c r="B5" s="3">
        <v>0.95985691699999998</v>
      </c>
      <c r="C5" s="3">
        <v>434</v>
      </c>
      <c r="D5" s="3">
        <v>49</v>
      </c>
      <c r="E5" s="3">
        <v>28</v>
      </c>
      <c r="F5" s="3">
        <v>477</v>
      </c>
      <c r="G5" s="6">
        <v>0.95242914999999995</v>
      </c>
      <c r="H5" s="6">
        <v>0.98756944000000002</v>
      </c>
      <c r="I5" s="6">
        <v>446</v>
      </c>
      <c r="J5" s="6">
        <v>37</v>
      </c>
      <c r="K5" s="6">
        <v>10</v>
      </c>
      <c r="L5" s="6">
        <v>495</v>
      </c>
      <c r="M5" s="9">
        <v>0.95344129600000005</v>
      </c>
      <c r="N5" s="9">
        <v>0.98025131700000001</v>
      </c>
      <c r="O5" s="9">
        <v>450</v>
      </c>
      <c r="P5" s="9">
        <v>33</v>
      </c>
      <c r="Q5" s="9">
        <v>13</v>
      </c>
      <c r="R5" s="9">
        <v>492</v>
      </c>
    </row>
    <row r="6" spans="1:19" ht="21" x14ac:dyDescent="0.5">
      <c r="A6" s="3">
        <v>0.91801619400000001</v>
      </c>
      <c r="B6" s="3">
        <v>0.95989996499999997</v>
      </c>
      <c r="C6" s="3">
        <v>431</v>
      </c>
      <c r="D6" s="3">
        <v>52</v>
      </c>
      <c r="E6" s="3">
        <v>29</v>
      </c>
      <c r="F6" s="3">
        <v>476</v>
      </c>
      <c r="G6" s="6">
        <v>0.95040485799999996</v>
      </c>
      <c r="H6" s="6">
        <v>0.98659779000000003</v>
      </c>
      <c r="I6" s="6">
        <v>444</v>
      </c>
      <c r="J6" s="6">
        <v>39</v>
      </c>
      <c r="K6" s="6">
        <v>10</v>
      </c>
      <c r="L6" s="6">
        <v>495</v>
      </c>
      <c r="M6" s="9">
        <v>0.95141700399999996</v>
      </c>
      <c r="N6" s="9">
        <v>0.97951335500000003</v>
      </c>
      <c r="O6" s="9">
        <v>449</v>
      </c>
      <c r="P6" s="9">
        <v>34</v>
      </c>
      <c r="Q6" s="9">
        <v>14</v>
      </c>
      <c r="R6" s="9">
        <v>491</v>
      </c>
    </row>
    <row r="7" spans="1:19" ht="21" x14ac:dyDescent="0.5">
      <c r="A7" s="4">
        <f>AVERAGE(A2:A6)</f>
        <v>0.92064777320000002</v>
      </c>
      <c r="B7" s="4">
        <f t="shared" ref="B7:R7" si="0">AVERAGE(B2:B6)</f>
        <v>0.96087776459999996</v>
      </c>
      <c r="C7" s="4">
        <f t="shared" si="0"/>
        <v>432.4</v>
      </c>
      <c r="D7" s="4">
        <f t="shared" si="0"/>
        <v>50.6</v>
      </c>
      <c r="E7" s="4">
        <f t="shared" si="0"/>
        <v>27.8</v>
      </c>
      <c r="F7" s="4">
        <f t="shared" si="0"/>
        <v>477.2</v>
      </c>
      <c r="G7" s="7">
        <f t="shared" si="0"/>
        <v>0.95141700399999996</v>
      </c>
      <c r="H7" s="7">
        <f t="shared" si="0"/>
        <v>0.98726687559999993</v>
      </c>
      <c r="I7" s="7">
        <f t="shared" si="0"/>
        <v>445</v>
      </c>
      <c r="J7" s="7">
        <f t="shared" si="0"/>
        <v>38</v>
      </c>
      <c r="K7" s="7">
        <f t="shared" si="0"/>
        <v>10</v>
      </c>
      <c r="L7" s="7">
        <f t="shared" si="0"/>
        <v>495</v>
      </c>
      <c r="M7" s="10">
        <f t="shared" si="0"/>
        <v>0.95263157919999997</v>
      </c>
      <c r="N7" s="10">
        <f t="shared" si="0"/>
        <v>0.98043990740000009</v>
      </c>
      <c r="O7" s="10">
        <f t="shared" si="0"/>
        <v>450.6</v>
      </c>
      <c r="P7" s="10">
        <f t="shared" si="0"/>
        <v>32.4</v>
      </c>
      <c r="Q7" s="10">
        <f t="shared" si="0"/>
        <v>14.4</v>
      </c>
      <c r="R7" s="10">
        <f t="shared" si="0"/>
        <v>490.6</v>
      </c>
    </row>
    <row r="8" spans="1:19" x14ac:dyDescent="0.35">
      <c r="A8">
        <f>STDEV(A2:A6)</f>
        <v>2.0988301588698599E-3</v>
      </c>
      <c r="B8">
        <f t="shared" ref="B8:R8" si="1">STDEV(B2:B6)</f>
        <v>9.5254616184457666E-4</v>
      </c>
      <c r="C8">
        <f t="shared" si="1"/>
        <v>1.8165902124584952</v>
      </c>
      <c r="D8">
        <f t="shared" si="1"/>
        <v>1.8165902124584949</v>
      </c>
      <c r="E8">
        <f t="shared" si="1"/>
        <v>0.83666002653407556</v>
      </c>
      <c r="F8">
        <f t="shared" si="1"/>
        <v>0.83666002653407556</v>
      </c>
      <c r="G8">
        <f t="shared" si="1"/>
        <v>7.1569530015083336E-4</v>
      </c>
      <c r="H8">
        <f t="shared" si="1"/>
        <v>4.8419541616611631E-4</v>
      </c>
      <c r="I8">
        <f t="shared" si="1"/>
        <v>0.70710678118654757</v>
      </c>
      <c r="J8">
        <f t="shared" si="1"/>
        <v>0.70710678118654757</v>
      </c>
      <c r="K8">
        <f t="shared" si="1"/>
        <v>0</v>
      </c>
      <c r="L8">
        <f t="shared" si="1"/>
        <v>0</v>
      </c>
      <c r="M8">
        <f t="shared" si="1"/>
        <v>8.4682209921640441E-4</v>
      </c>
      <c r="N8">
        <f t="shared" si="1"/>
        <v>7.1955677869838452E-4</v>
      </c>
      <c r="O8">
        <f t="shared" si="1"/>
        <v>1.1401754250991381</v>
      </c>
      <c r="P8">
        <f t="shared" si="1"/>
        <v>1.1401754250991378</v>
      </c>
      <c r="Q8">
        <f t="shared" si="1"/>
        <v>0.89442719099991586</v>
      </c>
      <c r="R8">
        <f t="shared" si="1"/>
        <v>0.89442719099991586</v>
      </c>
    </row>
    <row r="12" spans="1:19" x14ac:dyDescent="0.35">
      <c r="A12" s="13" t="s">
        <v>25</v>
      </c>
      <c r="B12" s="11" t="s">
        <v>18</v>
      </c>
      <c r="C12" s="11" t="s">
        <v>19</v>
      </c>
      <c r="D12" s="11" t="s">
        <v>19</v>
      </c>
      <c r="E12" s="11" t="s">
        <v>19</v>
      </c>
      <c r="F12" s="11" t="s">
        <v>19</v>
      </c>
      <c r="G12" s="11" t="s">
        <v>19</v>
      </c>
      <c r="L12" s="11" t="s">
        <v>18</v>
      </c>
      <c r="M12" s="11" t="s">
        <v>19</v>
      </c>
      <c r="N12" s="11" t="s">
        <v>19</v>
      </c>
      <c r="O12" s="11" t="s">
        <v>19</v>
      </c>
      <c r="P12" s="11" t="s">
        <v>19</v>
      </c>
      <c r="Q12" s="11" t="s">
        <v>19</v>
      </c>
    </row>
    <row r="13" spans="1:19" x14ac:dyDescent="0.35">
      <c r="A13" s="13"/>
      <c r="B13" s="12" t="s">
        <v>20</v>
      </c>
      <c r="C13" s="12">
        <v>0.90029999999999999</v>
      </c>
      <c r="D13" s="12">
        <v>0.90510000000000002</v>
      </c>
      <c r="E13" s="12">
        <v>0.90700000000000003</v>
      </c>
      <c r="F13" s="12">
        <v>0.90700000000000003</v>
      </c>
      <c r="G13" s="12">
        <v>0.90159999999999996</v>
      </c>
      <c r="H13">
        <f>AVERAGE(C13:G13)</f>
        <v>0.9042</v>
      </c>
      <c r="I13">
        <f>STDEV(C13:G13)</f>
        <v>3.1008063467427571E-3</v>
      </c>
      <c r="K13" s="13" t="s">
        <v>27</v>
      </c>
      <c r="L13" s="12" t="s">
        <v>20</v>
      </c>
      <c r="M13" s="12">
        <v>0.9405</v>
      </c>
      <c r="N13" s="12">
        <v>0.93869999999999998</v>
      </c>
      <c r="O13" s="12">
        <v>0.93869999999999998</v>
      </c>
      <c r="P13" s="12">
        <v>0.93710000000000004</v>
      </c>
      <c r="Q13" s="12">
        <v>0.93520000000000003</v>
      </c>
      <c r="R13">
        <f>AVERAGE(M13:Q13)</f>
        <v>0.93803999999999998</v>
      </c>
      <c r="S13">
        <f>STDEV(M13:Q13)</f>
        <v>1.9919839356781779E-3</v>
      </c>
    </row>
    <row r="14" spans="1:19" x14ac:dyDescent="0.35">
      <c r="A14" s="13"/>
      <c r="B14" s="12" t="s">
        <v>21</v>
      </c>
      <c r="C14" s="12">
        <v>0.94650000000000001</v>
      </c>
      <c r="D14" s="12">
        <v>0.94450000000000001</v>
      </c>
      <c r="E14" s="12">
        <v>0.94650000000000001</v>
      </c>
      <c r="F14" s="12">
        <v>0.94450000000000001</v>
      </c>
      <c r="G14" s="12">
        <v>0.94259999999999999</v>
      </c>
      <c r="H14">
        <f t="shared" ref="H14:H17" si="2">AVERAGE(C14:G14)</f>
        <v>0.94491999999999998</v>
      </c>
      <c r="I14">
        <f t="shared" ref="I14:I17" si="3">STDEV(C14:G14)</f>
        <v>1.6376812876747471E-3</v>
      </c>
      <c r="K14" s="13"/>
      <c r="L14" s="12" t="s">
        <v>21</v>
      </c>
      <c r="M14" s="12">
        <v>0.97030000000000005</v>
      </c>
      <c r="N14" s="12">
        <v>0.97030000000000005</v>
      </c>
      <c r="O14" s="12">
        <v>0.97030000000000005</v>
      </c>
      <c r="P14" s="12">
        <v>0.97419999999999995</v>
      </c>
      <c r="Q14" s="12">
        <v>0.97230000000000005</v>
      </c>
      <c r="R14">
        <f t="shared" ref="R14:R17" si="4">AVERAGE(M14:Q14)</f>
        <v>0.97148000000000001</v>
      </c>
      <c r="S14">
        <f t="shared" ref="S14:S17" si="5">STDEV(M14:Q14)</f>
        <v>1.7498571370257257E-3</v>
      </c>
    </row>
    <row r="15" spans="1:19" x14ac:dyDescent="0.35">
      <c r="A15" s="13"/>
      <c r="B15" s="12" t="s">
        <v>22</v>
      </c>
      <c r="C15" s="12">
        <v>0.89049999999999996</v>
      </c>
      <c r="D15" s="12">
        <v>0.89600000000000002</v>
      </c>
      <c r="E15" s="12">
        <v>0.89810000000000001</v>
      </c>
      <c r="F15" s="12">
        <v>0.89810000000000001</v>
      </c>
      <c r="G15" s="12">
        <v>0.8921</v>
      </c>
      <c r="H15">
        <f t="shared" si="2"/>
        <v>0.89495999999999998</v>
      </c>
      <c r="I15">
        <f t="shared" si="3"/>
        <v>3.4954255821001432E-3</v>
      </c>
      <c r="K15" s="13"/>
      <c r="L15" s="12" t="s">
        <v>22</v>
      </c>
      <c r="M15" s="12">
        <v>0.93579999999999997</v>
      </c>
      <c r="N15" s="12">
        <v>0.93369999999999997</v>
      </c>
      <c r="O15" s="12">
        <v>0.93369999999999997</v>
      </c>
      <c r="P15" s="12">
        <v>0.93159999999999998</v>
      </c>
      <c r="Q15" s="12">
        <v>0.92959999999999998</v>
      </c>
      <c r="R15">
        <f t="shared" si="4"/>
        <v>0.93287999999999993</v>
      </c>
      <c r="S15">
        <f t="shared" si="5"/>
        <v>2.3594490882407207E-3</v>
      </c>
    </row>
    <row r="16" spans="1:19" x14ac:dyDescent="0.35">
      <c r="A16" s="13"/>
      <c r="B16" s="12" t="s">
        <v>23</v>
      </c>
      <c r="C16" s="12">
        <v>0.92290000000000005</v>
      </c>
      <c r="D16" s="12">
        <v>0.92449999999999999</v>
      </c>
      <c r="E16" s="12">
        <v>0.92620000000000002</v>
      </c>
      <c r="F16" s="12">
        <v>0.92559999999999998</v>
      </c>
      <c r="G16" s="12">
        <v>0.92179999999999995</v>
      </c>
      <c r="H16">
        <f t="shared" si="2"/>
        <v>0.92420000000000013</v>
      </c>
      <c r="I16">
        <f t="shared" si="3"/>
        <v>1.8371173070873912E-3</v>
      </c>
      <c r="K16" s="13"/>
      <c r="L16" s="12" t="s">
        <v>23</v>
      </c>
      <c r="M16" s="12">
        <v>0.95520000000000005</v>
      </c>
      <c r="N16" s="12">
        <v>0.95430000000000004</v>
      </c>
      <c r="O16" s="12">
        <v>0.95430000000000004</v>
      </c>
      <c r="P16" s="12">
        <v>0.95530000000000004</v>
      </c>
      <c r="Q16" s="12">
        <v>0.95350000000000001</v>
      </c>
      <c r="R16">
        <f t="shared" si="4"/>
        <v>0.95451999999999992</v>
      </c>
      <c r="S16">
        <f t="shared" si="5"/>
        <v>7.4296702484027922E-4</v>
      </c>
    </row>
    <row r="17" spans="1:19" x14ac:dyDescent="0.35">
      <c r="A17" s="13"/>
      <c r="B17" s="12" t="s">
        <v>24</v>
      </c>
      <c r="C17" s="12">
        <v>0.94110000000000005</v>
      </c>
      <c r="D17" s="12">
        <v>0.93920000000000003</v>
      </c>
      <c r="E17" s="12">
        <v>0.94140000000000001</v>
      </c>
      <c r="F17" s="12">
        <v>0.9395</v>
      </c>
      <c r="G17" s="12">
        <v>0.93689999999999996</v>
      </c>
      <c r="H17">
        <f t="shared" si="2"/>
        <v>0.9396199999999999</v>
      </c>
      <c r="I17">
        <f t="shared" si="3"/>
        <v>1.7991664736761027E-3</v>
      </c>
      <c r="K17" s="13"/>
      <c r="L17" s="12" t="s">
        <v>24</v>
      </c>
      <c r="M17" s="12">
        <v>0.96789999999999998</v>
      </c>
      <c r="N17" s="12">
        <v>0.96779999999999999</v>
      </c>
      <c r="O17" s="12">
        <v>0.96779999999999999</v>
      </c>
      <c r="P17" s="12">
        <v>0.9718</v>
      </c>
      <c r="Q17" s="12">
        <v>0.96970000000000001</v>
      </c>
      <c r="R17">
        <f t="shared" si="4"/>
        <v>0.96900000000000008</v>
      </c>
      <c r="S17">
        <f t="shared" si="5"/>
        <v>1.762101018670614E-3</v>
      </c>
    </row>
    <row r="22" spans="1:19" x14ac:dyDescent="0.35">
      <c r="E22" s="13" t="s">
        <v>26</v>
      </c>
      <c r="F22" s="11" t="s">
        <v>18</v>
      </c>
      <c r="G22" s="11" t="s">
        <v>19</v>
      </c>
      <c r="H22" s="11" t="s">
        <v>19</v>
      </c>
      <c r="I22" s="11" t="s">
        <v>19</v>
      </c>
      <c r="J22" s="11" t="s">
        <v>19</v>
      </c>
      <c r="K22" s="11" t="s">
        <v>19</v>
      </c>
    </row>
    <row r="23" spans="1:19" x14ac:dyDescent="0.35">
      <c r="E23" s="13"/>
      <c r="F23" s="12" t="s">
        <v>20</v>
      </c>
      <c r="G23" s="12">
        <v>0.92869999999999997</v>
      </c>
      <c r="H23" s="12">
        <v>0.92869999999999997</v>
      </c>
      <c r="I23" s="12">
        <v>0.92869999999999997</v>
      </c>
      <c r="J23" s="12">
        <v>0.9304</v>
      </c>
      <c r="K23" s="12">
        <v>0.92689999999999995</v>
      </c>
      <c r="L23">
        <f>AVERAGE(G23:K23)</f>
        <v>0.92867999999999995</v>
      </c>
      <c r="M23">
        <f>STDEV(G23:K23)</f>
        <v>1.2377398757412849E-3</v>
      </c>
    </row>
    <row r="24" spans="1:19" x14ac:dyDescent="0.35">
      <c r="E24" s="13"/>
      <c r="F24" s="12" t="s">
        <v>21</v>
      </c>
      <c r="G24" s="12">
        <v>0.98019999999999996</v>
      </c>
      <c r="H24" s="12">
        <v>0.98019999999999996</v>
      </c>
      <c r="I24" s="12">
        <v>0.98019999999999996</v>
      </c>
      <c r="J24" s="12">
        <v>0.98019999999999996</v>
      </c>
      <c r="K24" s="12">
        <v>0.98019999999999996</v>
      </c>
      <c r="L24">
        <f t="shared" ref="L24:L27" si="6">AVERAGE(G24:K24)</f>
        <v>0.98019999999999996</v>
      </c>
      <c r="M24">
        <f t="shared" ref="M24:M27" si="7">STDEV(G24:K24)</f>
        <v>0</v>
      </c>
    </row>
    <row r="25" spans="1:19" x14ac:dyDescent="0.35">
      <c r="E25" s="13"/>
      <c r="F25" s="12" t="s">
        <v>22</v>
      </c>
      <c r="G25" s="12">
        <v>0.92130000000000001</v>
      </c>
      <c r="H25" s="12">
        <v>0.92130000000000001</v>
      </c>
      <c r="I25" s="12">
        <v>0.92130000000000001</v>
      </c>
      <c r="J25" s="12">
        <v>0.9234</v>
      </c>
      <c r="K25" s="12">
        <v>0.91930000000000001</v>
      </c>
      <c r="L25">
        <f t="shared" si="6"/>
        <v>0.92132000000000003</v>
      </c>
      <c r="M25">
        <f t="shared" si="7"/>
        <v>1.4498275759551522E-3</v>
      </c>
    </row>
    <row r="26" spans="1:19" x14ac:dyDescent="0.35">
      <c r="E26" s="13"/>
      <c r="F26" s="12" t="s">
        <v>23</v>
      </c>
      <c r="G26" s="12">
        <v>0.95389999999999997</v>
      </c>
      <c r="H26" s="12">
        <v>0.95389999999999997</v>
      </c>
      <c r="I26" s="12">
        <v>0.95389999999999997</v>
      </c>
      <c r="J26" s="12">
        <v>0.95499999999999996</v>
      </c>
      <c r="K26" s="12">
        <v>0.95330000000000004</v>
      </c>
      <c r="L26">
        <f t="shared" si="6"/>
        <v>0.95399999999999996</v>
      </c>
      <c r="M26">
        <f t="shared" si="7"/>
        <v>6.1644140029687476E-4</v>
      </c>
    </row>
    <row r="27" spans="1:19" x14ac:dyDescent="0.35">
      <c r="E27" s="13"/>
      <c r="F27" s="12" t="s">
        <v>24</v>
      </c>
      <c r="G27" s="12">
        <v>0.97789999999999999</v>
      </c>
      <c r="H27" s="12">
        <v>0.97789999999999999</v>
      </c>
      <c r="I27" s="12">
        <v>0.97789999999999999</v>
      </c>
      <c r="J27" s="12">
        <v>0.97809999999999997</v>
      </c>
      <c r="K27" s="12">
        <v>0.97789999999999999</v>
      </c>
      <c r="L27">
        <f t="shared" si="6"/>
        <v>0.97793999999999992</v>
      </c>
      <c r="M27">
        <f t="shared" si="7"/>
        <v>8.9442719099981738E-5</v>
      </c>
    </row>
  </sheetData>
  <mergeCells count="3">
    <mergeCell ref="A12:A17"/>
    <mergeCell ref="E22:E27"/>
    <mergeCell ref="K13:K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FINAL_CURATED_SVC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DWIVEDI Kountay</dc:creator>
  <cp:lastModifiedBy>DWIVEDI Kountay</cp:lastModifiedBy>
  <dcterms:created xsi:type="dcterms:W3CDTF">2025-11-13T15:00:12Z</dcterms:created>
  <dcterms:modified xsi:type="dcterms:W3CDTF">2025-11-20T11:09:39Z</dcterms:modified>
</cp:coreProperties>
</file>