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ultiomics based manuscript\REVISION AFTER JMS\OUP_BA_REVIEWER_COMMENTS\training_cohort\RESULTS\XGB\"/>
    </mc:Choice>
  </mc:AlternateContent>
  <bookViews>
    <workbookView xWindow="0" yWindow="0" windowWidth="38400" windowHeight="17730"/>
  </bookViews>
  <sheets>
    <sheet name="FINAL_CURATED_XGB" sheetId="1" r:id="rId1"/>
  </sheets>
  <calcPr calcId="162913"/>
</workbook>
</file>

<file path=xl/calcChain.xml><?xml version="1.0" encoding="utf-8"?>
<calcChain xmlns="http://schemas.openxmlformats.org/spreadsheetml/2006/main">
  <c r="S14" i="1" l="1"/>
  <c r="S15" i="1"/>
  <c r="S16" i="1"/>
  <c r="S17" i="1"/>
  <c r="S13" i="1"/>
  <c r="R14" i="1"/>
  <c r="R15" i="1"/>
  <c r="R16" i="1"/>
  <c r="R17" i="1"/>
  <c r="R13" i="1"/>
  <c r="O26" i="1"/>
  <c r="O27" i="1"/>
  <c r="O28" i="1"/>
  <c r="O29" i="1"/>
  <c r="O25" i="1"/>
  <c r="N26" i="1"/>
  <c r="N27" i="1"/>
  <c r="N28" i="1"/>
  <c r="N29" i="1"/>
  <c r="N25" i="1"/>
  <c r="I17" i="1"/>
  <c r="I18" i="1"/>
  <c r="I19" i="1"/>
  <c r="I20" i="1"/>
  <c r="I16" i="1"/>
  <c r="H17" i="1"/>
  <c r="H18" i="1"/>
  <c r="H19" i="1"/>
  <c r="H20" i="1"/>
  <c r="H16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A8" i="1"/>
  <c r="B7" i="1" l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A7" i="1"/>
</calcChain>
</file>

<file path=xl/sharedStrings.xml><?xml version="1.0" encoding="utf-8"?>
<sst xmlns="http://schemas.openxmlformats.org/spreadsheetml/2006/main" count="54" uniqueCount="30">
  <si>
    <t>cnv_acc</t>
  </si>
  <si>
    <t>cnv_auroc</t>
  </si>
  <si>
    <t>cnv_tn</t>
  </si>
  <si>
    <t>cnv_fp</t>
  </si>
  <si>
    <t>cnv_fn</t>
  </si>
  <si>
    <t>cnv_tp</t>
  </si>
  <si>
    <t>rna_acc</t>
  </si>
  <si>
    <t>rna_auroc</t>
  </si>
  <si>
    <t>rna_tn</t>
  </si>
  <si>
    <t>rna_fp</t>
  </si>
  <si>
    <t>rna_fn</t>
  </si>
  <si>
    <t>rna_tp</t>
  </si>
  <si>
    <t>fuse_acc</t>
  </si>
  <si>
    <t>fuse_auroc</t>
  </si>
  <si>
    <t>fuse_tn</t>
  </si>
  <si>
    <t>fuse_fp</t>
  </si>
  <si>
    <t>fuse_fn</t>
  </si>
  <si>
    <t>fuse_tp</t>
  </si>
  <si>
    <t>Metric</t>
  </si>
  <si>
    <t>Value</t>
  </si>
  <si>
    <t>Precision (PPV)</t>
  </si>
  <si>
    <t>Recall (Sensitivity)</t>
  </si>
  <si>
    <t>Specificity</t>
  </si>
  <si>
    <t>F1-score</t>
  </si>
  <si>
    <t>NPV</t>
  </si>
  <si>
    <t>CNV</t>
  </si>
  <si>
    <t>Precision</t>
  </si>
  <si>
    <t>Recall</t>
  </si>
  <si>
    <t>rna</t>
  </si>
  <si>
    <t>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</si>
</sst>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0" borderId="0" xfId="0" applyFont="1"/>
    <xf numFmtId="0" fontId="18" fillId="33" borderId="0" xfId="0" applyFont="1" applyFill="1"/>
    <xf numFmtId="0" fontId="19" fillId="33" borderId="0" xfId="0" applyFont="1" applyFill="1"/>
    <xf numFmtId="0" fontId="18" fillId="34" borderId="0" xfId="0" applyFont="1" applyFill="1"/>
    <xf numFmtId="0" fontId="19" fillId="34" borderId="0" xfId="0" applyFont="1" applyFill="1"/>
    <xf numFmtId="0" fontId="18" fillId="35" borderId="0" xfId="0" applyFont="1" applyFill="1"/>
    <xf numFmtId="0" fontId="19" fillId="35" borderId="0" xfId="0" applyFont="1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4.5" x14ac:dyDescent="0.35"/>
  <cols>
    <col min="1" max="19" width="15.6328125" customWidth="1"/>
  </cols>
  <sheetData>
    <row r="1" spans="1:19" s="1" customFormat="1" ht="23.5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9" ht="23.5" x14ac:dyDescent="0.55000000000000004">
      <c r="A2" s="4">
        <v>0.90080971700000001</v>
      </c>
      <c r="B2" s="4">
        <v>0.95648894100000004</v>
      </c>
      <c r="C2" s="4">
        <v>431</v>
      </c>
      <c r="D2" s="4">
        <v>52</v>
      </c>
      <c r="E2" s="4">
        <v>46</v>
      </c>
      <c r="F2" s="4">
        <v>459</v>
      </c>
      <c r="G2" s="6">
        <v>0.95344129600000005</v>
      </c>
      <c r="H2" s="6">
        <v>0.99139044300000001</v>
      </c>
      <c r="I2" s="6">
        <v>452</v>
      </c>
      <c r="J2" s="6">
        <v>31</v>
      </c>
      <c r="K2" s="6">
        <v>15</v>
      </c>
      <c r="L2" s="6">
        <v>490</v>
      </c>
      <c r="M2" s="8">
        <v>0.95748987900000004</v>
      </c>
      <c r="N2" s="8">
        <v>0.98366234100000005</v>
      </c>
      <c r="O2" s="8">
        <v>453</v>
      </c>
      <c r="P2" s="8">
        <v>30</v>
      </c>
      <c r="Q2" s="8">
        <v>12</v>
      </c>
      <c r="R2" s="8">
        <v>493</v>
      </c>
    </row>
    <row r="3" spans="1:19" ht="23.5" x14ac:dyDescent="0.55000000000000004">
      <c r="A3" s="4">
        <v>0.88562753000000005</v>
      </c>
      <c r="B3" s="4">
        <v>0.95146260000000005</v>
      </c>
      <c r="C3" s="4">
        <v>427</v>
      </c>
      <c r="D3" s="4">
        <v>56</v>
      </c>
      <c r="E3" s="4">
        <v>57</v>
      </c>
      <c r="F3" s="4">
        <v>448</v>
      </c>
      <c r="G3" s="6">
        <v>0.95344129600000005</v>
      </c>
      <c r="H3" s="6">
        <v>0.99057868500000001</v>
      </c>
      <c r="I3" s="6">
        <v>453</v>
      </c>
      <c r="J3" s="6">
        <v>30</v>
      </c>
      <c r="K3" s="6">
        <v>16</v>
      </c>
      <c r="L3" s="6">
        <v>489</v>
      </c>
      <c r="M3" s="8">
        <v>0.95546558699999995</v>
      </c>
      <c r="N3" s="8">
        <v>0.98148535400000003</v>
      </c>
      <c r="O3" s="8">
        <v>456</v>
      </c>
      <c r="P3" s="8">
        <v>27</v>
      </c>
      <c r="Q3" s="8">
        <v>17</v>
      </c>
      <c r="R3" s="8">
        <v>488</v>
      </c>
    </row>
    <row r="4" spans="1:19" ht="23.5" x14ac:dyDescent="0.55000000000000004">
      <c r="A4" s="4">
        <v>0.89372469600000004</v>
      </c>
      <c r="B4" s="4">
        <v>0.95302461900000002</v>
      </c>
      <c r="C4" s="4">
        <v>426</v>
      </c>
      <c r="D4" s="4">
        <v>57</v>
      </c>
      <c r="E4" s="4">
        <v>48</v>
      </c>
      <c r="F4" s="4">
        <v>457</v>
      </c>
      <c r="G4" s="6">
        <v>0.95546558699999995</v>
      </c>
      <c r="H4" s="6">
        <v>0.99141914200000003</v>
      </c>
      <c r="I4" s="6">
        <v>453</v>
      </c>
      <c r="J4" s="6">
        <v>30</v>
      </c>
      <c r="K4" s="6">
        <v>14</v>
      </c>
      <c r="L4" s="6">
        <v>491</v>
      </c>
      <c r="M4" s="8">
        <v>0.95951417000000006</v>
      </c>
      <c r="N4" s="8">
        <v>0.98116557000000004</v>
      </c>
      <c r="O4" s="8">
        <v>456</v>
      </c>
      <c r="P4" s="8">
        <v>27</v>
      </c>
      <c r="Q4" s="8">
        <v>13</v>
      </c>
      <c r="R4" s="8">
        <v>492</v>
      </c>
    </row>
    <row r="5" spans="1:19" ht="23.5" x14ac:dyDescent="0.55000000000000004">
      <c r="A5" s="4">
        <v>0.89068825900000004</v>
      </c>
      <c r="B5" s="4">
        <v>0.95193407500000005</v>
      </c>
      <c r="C5" s="4">
        <v>426</v>
      </c>
      <c r="D5" s="4">
        <v>57</v>
      </c>
      <c r="E5" s="4">
        <v>51</v>
      </c>
      <c r="F5" s="4">
        <v>454</v>
      </c>
      <c r="G5" s="6">
        <v>0.95647773300000005</v>
      </c>
      <c r="H5" s="6">
        <v>0.99247278800000005</v>
      </c>
      <c r="I5" s="6">
        <v>455</v>
      </c>
      <c r="J5" s="6">
        <v>28</v>
      </c>
      <c r="K5" s="6">
        <v>15</v>
      </c>
      <c r="L5" s="6">
        <v>490</v>
      </c>
      <c r="M5" s="8">
        <v>0.95951417000000006</v>
      </c>
      <c r="N5" s="8">
        <v>0.98276448800000005</v>
      </c>
      <c r="O5" s="8">
        <v>457</v>
      </c>
      <c r="P5" s="8">
        <v>26</v>
      </c>
      <c r="Q5" s="8">
        <v>14</v>
      </c>
      <c r="R5" s="8">
        <v>491</v>
      </c>
    </row>
    <row r="6" spans="1:19" ht="23.5" x14ac:dyDescent="0.55000000000000004">
      <c r="A6" s="4">
        <v>0.89355600499999999</v>
      </c>
      <c r="B6" s="4">
        <v>0.95367785199999999</v>
      </c>
      <c r="C6" s="4">
        <v>429</v>
      </c>
      <c r="D6" s="4">
        <v>54</v>
      </c>
      <c r="E6" s="4">
        <v>52</v>
      </c>
      <c r="F6" s="4">
        <v>453</v>
      </c>
      <c r="G6" s="6">
        <v>0.95546558699999995</v>
      </c>
      <c r="H6" s="6">
        <v>0.99147722199999999</v>
      </c>
      <c r="I6" s="6">
        <v>455</v>
      </c>
      <c r="J6" s="6">
        <v>28</v>
      </c>
      <c r="K6" s="6">
        <v>14</v>
      </c>
      <c r="L6" s="6">
        <v>491</v>
      </c>
      <c r="M6" s="8">
        <v>0.95816464199999996</v>
      </c>
      <c r="N6" s="8">
        <v>0.98226226299999997</v>
      </c>
      <c r="O6" s="8">
        <v>456</v>
      </c>
      <c r="P6" s="8">
        <v>27</v>
      </c>
      <c r="Q6" s="8">
        <v>14</v>
      </c>
      <c r="R6" s="8">
        <v>491</v>
      </c>
    </row>
    <row r="7" spans="1:19" s="2" customFormat="1" ht="23.5" x14ac:dyDescent="0.55000000000000004">
      <c r="A7" s="3">
        <f t="shared" ref="A7:R7" si="0">AVERAGE(A2:A6)</f>
        <v>0.89288124139999991</v>
      </c>
      <c r="B7" s="3">
        <f t="shared" si="0"/>
        <v>0.95331761739999998</v>
      </c>
      <c r="C7" s="3">
        <f t="shared" si="0"/>
        <v>427.8</v>
      </c>
      <c r="D7" s="3">
        <f t="shared" si="0"/>
        <v>55.2</v>
      </c>
      <c r="E7" s="3">
        <f t="shared" si="0"/>
        <v>50.8</v>
      </c>
      <c r="F7" s="3">
        <f t="shared" si="0"/>
        <v>454.2</v>
      </c>
      <c r="G7" s="5">
        <f t="shared" si="0"/>
        <v>0.95485829980000003</v>
      </c>
      <c r="H7" s="5">
        <f t="shared" si="0"/>
        <v>0.99146765599999997</v>
      </c>
      <c r="I7" s="5">
        <f t="shared" si="0"/>
        <v>453.6</v>
      </c>
      <c r="J7" s="5">
        <f t="shared" si="0"/>
        <v>29.4</v>
      </c>
      <c r="K7" s="5">
        <f t="shared" si="0"/>
        <v>14.8</v>
      </c>
      <c r="L7" s="5">
        <f t="shared" si="0"/>
        <v>490.2</v>
      </c>
      <c r="M7" s="7">
        <f t="shared" si="0"/>
        <v>0.95802968960000001</v>
      </c>
      <c r="N7" s="7">
        <f t="shared" si="0"/>
        <v>0.98226800320000007</v>
      </c>
      <c r="O7" s="7">
        <f t="shared" si="0"/>
        <v>455.6</v>
      </c>
      <c r="P7" s="7">
        <f t="shared" si="0"/>
        <v>27.4</v>
      </c>
      <c r="Q7" s="7">
        <f t="shared" si="0"/>
        <v>14</v>
      </c>
      <c r="R7" s="7">
        <f t="shared" si="0"/>
        <v>491</v>
      </c>
    </row>
    <row r="8" spans="1:19" x14ac:dyDescent="0.35">
      <c r="A8">
        <f>STDEV(A2:A6)</f>
        <v>5.5102846523374018E-3</v>
      </c>
      <c r="B8">
        <f t="shared" ref="B8:R8" si="1">STDEV(B2:B6)</f>
        <v>1.9766252510438793E-3</v>
      </c>
      <c r="C8">
        <f t="shared" si="1"/>
        <v>2.16794833886788</v>
      </c>
      <c r="D8">
        <f t="shared" si="1"/>
        <v>2.16794833886788</v>
      </c>
      <c r="E8">
        <f t="shared" si="1"/>
        <v>4.2071367935925261</v>
      </c>
      <c r="F8">
        <f t="shared" si="1"/>
        <v>4.2071367935925252</v>
      </c>
      <c r="G8">
        <f t="shared" si="1"/>
        <v>1.3579358337434955E-3</v>
      </c>
      <c r="H8">
        <f t="shared" si="1"/>
        <v>6.7248917095111477E-4</v>
      </c>
      <c r="I8">
        <f t="shared" si="1"/>
        <v>1.3416407864998738</v>
      </c>
      <c r="J8">
        <f t="shared" si="1"/>
        <v>1.3416407864998738</v>
      </c>
      <c r="K8">
        <f t="shared" si="1"/>
        <v>0.83666002653407556</v>
      </c>
      <c r="L8">
        <f t="shared" si="1"/>
        <v>0.83666002653407556</v>
      </c>
      <c r="M8">
        <f t="shared" si="1"/>
        <v>1.6801483486164046E-3</v>
      </c>
      <c r="N8">
        <f t="shared" si="1"/>
        <v>1.0023231437214805E-3</v>
      </c>
      <c r="O8">
        <f t="shared" si="1"/>
        <v>1.51657508881031</v>
      </c>
      <c r="P8">
        <f t="shared" si="1"/>
        <v>1.5165750888103102</v>
      </c>
      <c r="Q8">
        <f t="shared" si="1"/>
        <v>1.8708286933869707</v>
      </c>
      <c r="R8">
        <f t="shared" si="1"/>
        <v>1.8708286933869707</v>
      </c>
    </row>
    <row r="12" spans="1:19" x14ac:dyDescent="0.35">
      <c r="L12" s="9" t="s">
        <v>18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</row>
    <row r="13" spans="1:19" x14ac:dyDescent="0.35">
      <c r="K13" s="12" t="s">
        <v>29</v>
      </c>
      <c r="L13" s="10" t="s">
        <v>26</v>
      </c>
      <c r="M13" s="10">
        <v>0.94269999999999998</v>
      </c>
      <c r="N13" s="10">
        <v>0.94750000000000001</v>
      </c>
      <c r="O13" s="10">
        <v>0.94799999999999995</v>
      </c>
      <c r="P13" s="10">
        <v>0.94969999999999999</v>
      </c>
      <c r="Q13" s="10">
        <v>0.9476</v>
      </c>
      <c r="R13">
        <f>AVERAGE(M13:Q13)</f>
        <v>0.94710000000000005</v>
      </c>
      <c r="S13">
        <f>STDEV(M13:Q13)</f>
        <v>2.6143832924802753E-3</v>
      </c>
    </row>
    <row r="14" spans="1:19" x14ac:dyDescent="0.35">
      <c r="K14" s="12"/>
      <c r="L14" s="10" t="s">
        <v>27</v>
      </c>
      <c r="M14" s="10">
        <v>0.97619999999999996</v>
      </c>
      <c r="N14" s="10">
        <v>0.96640000000000004</v>
      </c>
      <c r="O14" s="10">
        <v>0.97419999999999995</v>
      </c>
      <c r="P14" s="10">
        <v>0.97230000000000005</v>
      </c>
      <c r="Q14" s="10">
        <v>0.97199999999999998</v>
      </c>
      <c r="R14">
        <f t="shared" ref="R14:R17" si="2">AVERAGE(M14:Q14)</f>
        <v>0.97222000000000008</v>
      </c>
      <c r="S14">
        <f t="shared" ref="S14:S17" si="3">STDEV(M14:Q14)</f>
        <v>3.6636047821783078E-3</v>
      </c>
    </row>
    <row r="15" spans="1:19" x14ac:dyDescent="0.35">
      <c r="A15" s="12" t="s">
        <v>25</v>
      </c>
      <c r="B15" s="9" t="s">
        <v>18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K15" s="12"/>
      <c r="L15" s="10" t="s">
        <v>22</v>
      </c>
      <c r="M15" s="10">
        <v>0.93789999999999996</v>
      </c>
      <c r="N15" s="10">
        <v>0.94399999999999995</v>
      </c>
      <c r="O15" s="10">
        <v>0.94399999999999995</v>
      </c>
      <c r="P15" s="10">
        <v>0.94620000000000004</v>
      </c>
      <c r="Q15" s="10">
        <v>0.94379999999999997</v>
      </c>
      <c r="R15">
        <f t="shared" si="2"/>
        <v>0.94317999999999991</v>
      </c>
      <c r="S15">
        <f t="shared" si="3"/>
        <v>3.1115912327939429E-3</v>
      </c>
    </row>
    <row r="16" spans="1:19" x14ac:dyDescent="0.35">
      <c r="A16" s="12"/>
      <c r="B16" s="10" t="s">
        <v>20</v>
      </c>
      <c r="C16" s="11">
        <v>0.89800000000000002</v>
      </c>
      <c r="D16" s="11">
        <v>0.88900000000000001</v>
      </c>
      <c r="E16" s="11">
        <v>0.89</v>
      </c>
      <c r="F16" s="11">
        <v>0.88900000000000001</v>
      </c>
      <c r="G16" s="11">
        <v>0.89200000000000002</v>
      </c>
      <c r="H16">
        <f>AVERAGE(C16:G16)</f>
        <v>0.89160000000000006</v>
      </c>
      <c r="I16">
        <f>STDEV(C16:G16)</f>
        <v>3.7815340802378108E-3</v>
      </c>
      <c r="K16" s="12"/>
      <c r="L16" s="10" t="s">
        <v>23</v>
      </c>
      <c r="M16" s="10">
        <v>0.95920000000000005</v>
      </c>
      <c r="N16" s="10">
        <v>0.95679999999999998</v>
      </c>
      <c r="O16" s="10">
        <v>0.96079999999999999</v>
      </c>
      <c r="P16" s="10">
        <v>0.96079999999999999</v>
      </c>
      <c r="Q16" s="10">
        <v>0.9597</v>
      </c>
      <c r="R16">
        <f t="shared" si="2"/>
        <v>0.95945999999999998</v>
      </c>
      <c r="S16">
        <f t="shared" si="3"/>
        <v>1.6425589791541726E-3</v>
      </c>
    </row>
    <row r="17" spans="1:19" ht="29" x14ac:dyDescent="0.35">
      <c r="A17" s="12"/>
      <c r="B17" s="10" t="s">
        <v>21</v>
      </c>
      <c r="C17" s="11">
        <v>0.90900000000000003</v>
      </c>
      <c r="D17" s="11">
        <v>0.88700000000000001</v>
      </c>
      <c r="E17" s="11">
        <v>0.90400000000000003</v>
      </c>
      <c r="F17" s="11">
        <v>0.89900000000000002</v>
      </c>
      <c r="G17" s="11">
        <v>0.89900000000000002</v>
      </c>
      <c r="H17">
        <f t="shared" ref="H17:H20" si="4">AVERAGE(C17:G17)</f>
        <v>0.89960000000000007</v>
      </c>
      <c r="I17">
        <f t="shared" ref="I17:I20" si="5">STDEV(C17:G17)</f>
        <v>8.1731266966810264E-3</v>
      </c>
      <c r="K17" s="12"/>
      <c r="L17" s="10" t="s">
        <v>24</v>
      </c>
      <c r="M17" s="10">
        <v>0.97419999999999995</v>
      </c>
      <c r="N17" s="10">
        <v>0.96409999999999996</v>
      </c>
      <c r="O17" s="10">
        <v>0.97230000000000005</v>
      </c>
      <c r="P17" s="10">
        <v>0.97030000000000005</v>
      </c>
      <c r="Q17" s="10">
        <v>0.96989999999999998</v>
      </c>
      <c r="R17">
        <f t="shared" si="2"/>
        <v>0.97015999999999991</v>
      </c>
      <c r="S17">
        <f t="shared" si="3"/>
        <v>3.7984207244590616E-3</v>
      </c>
    </row>
    <row r="18" spans="1:19" x14ac:dyDescent="0.35">
      <c r="A18" s="12"/>
      <c r="B18" s="10" t="s">
        <v>22</v>
      </c>
      <c r="C18" s="11">
        <v>0.89200000000000002</v>
      </c>
      <c r="D18" s="11">
        <v>0.88400000000000001</v>
      </c>
      <c r="E18" s="11">
        <v>0.88300000000000001</v>
      </c>
      <c r="F18" s="11">
        <v>0.88300000000000001</v>
      </c>
      <c r="G18" s="11">
        <v>0.88600000000000001</v>
      </c>
      <c r="H18">
        <f t="shared" si="4"/>
        <v>0.88559999999999994</v>
      </c>
      <c r="I18">
        <f t="shared" si="5"/>
        <v>3.7815340802378108E-3</v>
      </c>
    </row>
    <row r="19" spans="1:19" x14ac:dyDescent="0.35">
      <c r="A19" s="12"/>
      <c r="B19" s="10" t="s">
        <v>23</v>
      </c>
      <c r="C19" s="11">
        <v>0.90300000000000002</v>
      </c>
      <c r="D19" s="11">
        <v>0.88800000000000001</v>
      </c>
      <c r="E19" s="11">
        <v>0.89600000000000002</v>
      </c>
      <c r="F19" s="11">
        <v>0.89300000000000002</v>
      </c>
      <c r="G19" s="11">
        <v>0.89500000000000002</v>
      </c>
      <c r="H19">
        <f t="shared" si="4"/>
        <v>0.89499999999999991</v>
      </c>
      <c r="I19">
        <f t="shared" si="5"/>
        <v>5.4313902456001126E-3</v>
      </c>
    </row>
    <row r="20" spans="1:19" x14ac:dyDescent="0.35">
      <c r="A20" s="12"/>
      <c r="B20" s="10" t="s">
        <v>24</v>
      </c>
      <c r="C20" s="11">
        <v>0.90400000000000003</v>
      </c>
      <c r="D20" s="11">
        <v>0.88200000000000001</v>
      </c>
      <c r="E20" s="11">
        <v>0.89900000000000002</v>
      </c>
      <c r="F20" s="11">
        <v>0.89300000000000002</v>
      </c>
      <c r="G20" s="11">
        <v>0.89300000000000002</v>
      </c>
      <c r="H20">
        <f t="shared" si="4"/>
        <v>0.89419999999999999</v>
      </c>
      <c r="I20">
        <f t="shared" si="5"/>
        <v>8.2280009722896924E-3</v>
      </c>
    </row>
    <row r="24" spans="1:19" x14ac:dyDescent="0.35">
      <c r="G24" s="12" t="s">
        <v>28</v>
      </c>
      <c r="H24" s="9" t="s">
        <v>18</v>
      </c>
      <c r="I24" s="9" t="s">
        <v>19</v>
      </c>
      <c r="J24" s="9" t="s">
        <v>19</v>
      </c>
      <c r="K24" s="9" t="s">
        <v>19</v>
      </c>
      <c r="L24" s="9" t="s">
        <v>19</v>
      </c>
      <c r="M24" s="9" t="s">
        <v>19</v>
      </c>
    </row>
    <row r="25" spans="1:19" x14ac:dyDescent="0.35">
      <c r="G25" s="12"/>
      <c r="H25" s="11" t="s">
        <v>20</v>
      </c>
      <c r="I25" s="11">
        <v>0.94</v>
      </c>
      <c r="J25" s="10">
        <v>0.94230000000000003</v>
      </c>
      <c r="K25" s="10">
        <v>0.94240000000000002</v>
      </c>
      <c r="L25" s="10">
        <v>0.94589999999999996</v>
      </c>
      <c r="M25" s="10">
        <v>0.94379999999999997</v>
      </c>
      <c r="N25">
        <f>AVERAGE(I25:M25)</f>
        <v>0.94287999999999994</v>
      </c>
      <c r="O25">
        <f>STDEV(I25:M25)</f>
        <v>2.1695621678117448E-3</v>
      </c>
    </row>
    <row r="26" spans="1:19" ht="29" x14ac:dyDescent="0.35">
      <c r="G26" s="12"/>
      <c r="H26" s="11" t="s">
        <v>21</v>
      </c>
      <c r="I26" s="11">
        <v>0.97</v>
      </c>
      <c r="J26" s="10">
        <v>0.96830000000000005</v>
      </c>
      <c r="K26" s="10">
        <v>0.97230000000000005</v>
      </c>
      <c r="L26" s="10">
        <v>0.97030000000000005</v>
      </c>
      <c r="M26" s="10">
        <v>0.97060000000000002</v>
      </c>
      <c r="N26">
        <f t="shared" ref="N26:N29" si="6">AVERAGE(I26:M26)</f>
        <v>0.97029999999999994</v>
      </c>
      <c r="O26">
        <f t="shared" ref="O26:O29" si="7">STDEV(I26:M26)</f>
        <v>1.4300349646075127E-3</v>
      </c>
    </row>
    <row r="27" spans="1:19" x14ac:dyDescent="0.35">
      <c r="G27" s="12"/>
      <c r="H27" s="11" t="s">
        <v>22</v>
      </c>
      <c r="I27" s="11">
        <v>0.93600000000000005</v>
      </c>
      <c r="J27" s="10">
        <v>0.93789999999999996</v>
      </c>
      <c r="K27" s="10">
        <v>0.93789999999999996</v>
      </c>
      <c r="L27" s="10">
        <v>0.94199999999999995</v>
      </c>
      <c r="M27" s="10">
        <v>0.93959999999999999</v>
      </c>
      <c r="N27">
        <f t="shared" si="6"/>
        <v>0.93868000000000007</v>
      </c>
      <c r="O27">
        <f t="shared" si="7"/>
        <v>2.2509997778764599E-3</v>
      </c>
    </row>
    <row r="28" spans="1:19" x14ac:dyDescent="0.35">
      <c r="G28" s="12"/>
      <c r="H28" s="11" t="s">
        <v>23</v>
      </c>
      <c r="I28" s="11">
        <v>0.95399999999999996</v>
      </c>
      <c r="J28" s="10">
        <v>0.95499999999999996</v>
      </c>
      <c r="K28" s="10">
        <v>0.95699999999999996</v>
      </c>
      <c r="L28" s="10">
        <v>0.95789999999999997</v>
      </c>
      <c r="M28" s="10">
        <v>0.95689999999999997</v>
      </c>
      <c r="N28">
        <f t="shared" si="6"/>
        <v>0.9561599999999999</v>
      </c>
      <c r="O28">
        <f t="shared" si="7"/>
        <v>1.6040573555830286E-3</v>
      </c>
    </row>
    <row r="29" spans="1:19" x14ac:dyDescent="0.35">
      <c r="G29" s="12"/>
      <c r="H29" s="11" t="s">
        <v>24</v>
      </c>
      <c r="I29" s="11">
        <v>0.96799999999999997</v>
      </c>
      <c r="J29" s="10">
        <v>0.96589999999999998</v>
      </c>
      <c r="K29" s="10">
        <v>0.97</v>
      </c>
      <c r="L29" s="10">
        <v>0.96809999999999996</v>
      </c>
      <c r="M29" s="10">
        <v>0.96830000000000005</v>
      </c>
      <c r="N29">
        <f t="shared" si="6"/>
        <v>0.96806000000000003</v>
      </c>
      <c r="O29">
        <f t="shared" si="7"/>
        <v>1.4570518178843197E-3</v>
      </c>
    </row>
    <row r="30" spans="1:19" x14ac:dyDescent="0.35">
      <c r="J30" s="10"/>
      <c r="K30" s="10"/>
    </row>
  </sheetData>
  <mergeCells count="3">
    <mergeCell ref="A15:A20"/>
    <mergeCell ref="G24:G29"/>
    <mergeCell ref="K13:K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FINAL_CURATED_XGB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DWIVEDI Kountay</dc:creator>
  <cp:lastModifiedBy>DWIVEDI Kountay</cp:lastModifiedBy>
  <dcterms:created xsi:type="dcterms:W3CDTF">2025-11-13T15:03:26Z</dcterms:created>
  <dcterms:modified xsi:type="dcterms:W3CDTF">2025-11-25T12:46:23Z</dcterms:modified>
</cp:coreProperties>
</file>