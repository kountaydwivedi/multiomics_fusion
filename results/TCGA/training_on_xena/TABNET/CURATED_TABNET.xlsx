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ultiomics based manuscript\REVISION AFTER JMS\OUP_BA_REVIEWER_COMMENTS\training_cohort\RESULTS\TABNET\"/>
    </mc:Choice>
  </mc:AlternateContent>
  <bookViews>
    <workbookView xWindow="0" yWindow="0" windowWidth="38400" windowHeight="17730"/>
  </bookViews>
  <sheets>
    <sheet name="FINAL_CURATED_TABNET" sheetId="1" r:id="rId1"/>
  </sheets>
  <calcPr calcId="162913"/>
</workbook>
</file>

<file path=xl/calcChain.xml><?xml version="1.0" encoding="utf-8"?>
<calcChain xmlns="http://schemas.openxmlformats.org/spreadsheetml/2006/main">
  <c r="R17" i="1" l="1"/>
  <c r="R18" i="1"/>
  <c r="R19" i="1"/>
  <c r="R20" i="1"/>
  <c r="R16" i="1"/>
  <c r="Q17" i="1"/>
  <c r="Q18" i="1"/>
  <c r="Q19" i="1"/>
  <c r="Q20" i="1"/>
  <c r="Q16" i="1"/>
  <c r="I26" i="1"/>
  <c r="I27" i="1"/>
  <c r="I28" i="1"/>
  <c r="I29" i="1"/>
  <c r="I25" i="1"/>
  <c r="H26" i="1"/>
  <c r="H27" i="1"/>
  <c r="H28" i="1"/>
  <c r="H29" i="1"/>
  <c r="H25" i="1"/>
  <c r="I16" i="1"/>
  <c r="I17" i="1"/>
  <c r="I18" i="1"/>
  <c r="I19" i="1"/>
  <c r="I15" i="1"/>
  <c r="H16" i="1"/>
  <c r="H17" i="1"/>
  <c r="H18" i="1"/>
  <c r="H19" i="1"/>
  <c r="H15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A8" i="1"/>
  <c r="B7" i="1" l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A7" i="1"/>
</calcChain>
</file>

<file path=xl/sharedStrings.xml><?xml version="1.0" encoding="utf-8"?>
<sst xmlns="http://schemas.openxmlformats.org/spreadsheetml/2006/main" count="54" uniqueCount="28">
  <si>
    <t>cnv_acc</t>
  </si>
  <si>
    <t>cnv_auroc</t>
  </si>
  <si>
    <t>cnv_tn</t>
  </si>
  <si>
    <t>cnv_fp</t>
  </si>
  <si>
    <t>cnv_fn</t>
  </si>
  <si>
    <t>cnv_tp</t>
  </si>
  <si>
    <t>rna_acc</t>
  </si>
  <si>
    <t>rna_auroc</t>
  </si>
  <si>
    <t>rna_tn</t>
  </si>
  <si>
    <t>rna_fp</t>
  </si>
  <si>
    <t>rna_fn</t>
  </si>
  <si>
    <t>rna_tp</t>
  </si>
  <si>
    <t>fuse_acc</t>
  </si>
  <si>
    <t>fuse_auroc</t>
  </si>
  <si>
    <t>fuse_tn</t>
  </si>
  <si>
    <t>fuse_fp</t>
  </si>
  <si>
    <t>fuse_fn</t>
  </si>
  <si>
    <t>fuse_tp</t>
  </si>
  <si>
    <t>Metric</t>
  </si>
  <si>
    <t>Value</t>
  </si>
  <si>
    <t>Precision</t>
  </si>
  <si>
    <t>Recall</t>
  </si>
  <si>
    <t>Specificity</t>
  </si>
  <si>
    <t>F1-score</t>
  </si>
  <si>
    <t>NPV</t>
  </si>
  <si>
    <t>cnv</t>
  </si>
  <si>
    <t>rna</t>
  </si>
  <si>
    <t>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</si>
</sst>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/>
    <xf numFmtId="0" fontId="19" fillId="33" borderId="0" xfId="0" applyFont="1" applyFill="1"/>
    <xf numFmtId="0" fontId="20" fillId="33" borderId="0" xfId="0" applyFont="1" applyFill="1"/>
    <xf numFmtId="0" fontId="18" fillId="33" borderId="0" xfId="0" applyFont="1" applyFill="1"/>
    <xf numFmtId="0" fontId="19" fillId="34" borderId="0" xfId="0" applyFont="1" applyFill="1"/>
    <xf numFmtId="0" fontId="20" fillId="34" borderId="0" xfId="0" applyFont="1" applyFill="1"/>
    <xf numFmtId="0" fontId="18" fillId="34" borderId="0" xfId="0" applyFont="1" applyFill="1"/>
    <xf numFmtId="0" fontId="19" fillId="35" borderId="0" xfId="0" applyFont="1" applyFill="1"/>
    <xf numFmtId="0" fontId="20" fillId="35" borderId="0" xfId="0" applyFont="1" applyFill="1"/>
    <xf numFmtId="0" fontId="18" fillId="35" borderId="0" xfId="0" applyFont="1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topLeftCell="E1" workbookViewId="0">
      <pane ySplit="1" topLeftCell="A2" activePane="bottomLeft" state="frozen"/>
      <selection pane="bottomLeft" activeCell="N31" sqref="N31"/>
    </sheetView>
  </sheetViews>
  <sheetFormatPr defaultRowHeight="14.5" x14ac:dyDescent="0.35"/>
  <cols>
    <col min="1" max="1" width="11.81640625" bestFit="1" customWidth="1"/>
    <col min="2" max="2" width="15.6328125" customWidth="1"/>
    <col min="3" max="3" width="10.26953125" bestFit="1" customWidth="1"/>
    <col min="4" max="5" width="10.1796875" bestFit="1" customWidth="1"/>
    <col min="6" max="6" width="10.26953125" bestFit="1" customWidth="1"/>
    <col min="7" max="7" width="11.81640625" bestFit="1" customWidth="1"/>
    <col min="8" max="8" width="15.08984375" bestFit="1" customWidth="1"/>
    <col min="9" max="9" width="10.1796875" bestFit="1" customWidth="1"/>
    <col min="10" max="11" width="10.08984375" bestFit="1" customWidth="1"/>
    <col min="12" max="12" width="10.1796875" bestFit="1" customWidth="1"/>
    <col min="13" max="13" width="12.81640625" bestFit="1" customWidth="1"/>
    <col min="14" max="14" width="16.1796875" bestFit="1" customWidth="1"/>
    <col min="15" max="15" width="11.26953125" bestFit="1" customWidth="1"/>
    <col min="16" max="17" width="11.1796875" bestFit="1" customWidth="1"/>
    <col min="18" max="18" width="11.26953125" bestFit="1" customWidth="1"/>
  </cols>
  <sheetData>
    <row r="1" spans="1:18" s="1" customFormat="1" ht="23.5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21" x14ac:dyDescent="0.5">
      <c r="A2" s="3">
        <v>0.84618776600000001</v>
      </c>
      <c r="B2" s="3">
        <v>0.92247329099999997</v>
      </c>
      <c r="C2" s="3">
        <v>421</v>
      </c>
      <c r="D2" s="3">
        <v>62</v>
      </c>
      <c r="E2" s="3">
        <v>90</v>
      </c>
      <c r="F2" s="3">
        <v>415</v>
      </c>
      <c r="G2" s="6">
        <v>0.64447520899999999</v>
      </c>
      <c r="H2" s="6">
        <v>0.71198198400000001</v>
      </c>
      <c r="I2" s="6">
        <v>325</v>
      </c>
      <c r="J2" s="6">
        <v>158</v>
      </c>
      <c r="K2" s="6">
        <v>193</v>
      </c>
      <c r="L2" s="6">
        <v>312</v>
      </c>
      <c r="M2" s="9">
        <v>0.85931174099999996</v>
      </c>
      <c r="N2" s="9">
        <v>0.91648320100000003</v>
      </c>
      <c r="O2" s="9">
        <v>427</v>
      </c>
      <c r="P2" s="9">
        <v>56</v>
      </c>
      <c r="Q2" s="9">
        <v>83</v>
      </c>
      <c r="R2" s="9">
        <v>422</v>
      </c>
    </row>
    <row r="3" spans="1:18" ht="21" x14ac:dyDescent="0.5">
      <c r="A3" s="3">
        <v>0.84202943100000005</v>
      </c>
      <c r="B3" s="3">
        <v>0.93091380000000001</v>
      </c>
      <c r="C3" s="3">
        <v>442</v>
      </c>
      <c r="D3" s="3">
        <v>41</v>
      </c>
      <c r="E3" s="3">
        <v>115</v>
      </c>
      <c r="F3" s="3">
        <v>390</v>
      </c>
      <c r="G3" s="6">
        <v>0.71948418199999997</v>
      </c>
      <c r="H3" s="6">
        <v>0.80280730099999997</v>
      </c>
      <c r="I3" s="6">
        <v>347</v>
      </c>
      <c r="J3" s="6">
        <v>136</v>
      </c>
      <c r="K3" s="6">
        <v>141</v>
      </c>
      <c r="L3" s="6">
        <v>364</v>
      </c>
      <c r="M3" s="9">
        <v>0.85222672099999996</v>
      </c>
      <c r="N3" s="9">
        <v>0.92356763600000003</v>
      </c>
      <c r="O3" s="9">
        <v>441</v>
      </c>
      <c r="P3" s="9">
        <v>42</v>
      </c>
      <c r="Q3" s="9">
        <v>104</v>
      </c>
      <c r="R3" s="9">
        <v>401</v>
      </c>
    </row>
    <row r="4" spans="1:18" ht="21" x14ac:dyDescent="0.5">
      <c r="A4" s="3">
        <v>0.82387837799999997</v>
      </c>
      <c r="B4" s="3">
        <v>0.92261257699999999</v>
      </c>
      <c r="C4" s="3">
        <v>431</v>
      </c>
      <c r="D4" s="3">
        <v>52</v>
      </c>
      <c r="E4" s="3">
        <v>122</v>
      </c>
      <c r="F4" s="3">
        <v>383</v>
      </c>
      <c r="G4" s="6">
        <v>0.68007998800000002</v>
      </c>
      <c r="H4" s="6">
        <v>0.76925164199999996</v>
      </c>
      <c r="I4" s="6">
        <v>322</v>
      </c>
      <c r="J4" s="6">
        <v>161</v>
      </c>
      <c r="K4" s="6">
        <v>155</v>
      </c>
      <c r="L4" s="6">
        <v>350</v>
      </c>
      <c r="M4" s="9">
        <v>0.84412955499999998</v>
      </c>
      <c r="N4" s="9">
        <v>0.92440809300000004</v>
      </c>
      <c r="O4" s="9">
        <v>435</v>
      </c>
      <c r="P4" s="9">
        <v>48</v>
      </c>
      <c r="Q4" s="9">
        <v>106</v>
      </c>
      <c r="R4" s="9">
        <v>399</v>
      </c>
    </row>
    <row r="5" spans="1:18" ht="21" x14ac:dyDescent="0.5">
      <c r="A5" s="3">
        <v>0.81685381700000004</v>
      </c>
      <c r="B5" s="3">
        <v>0.93260373100000005</v>
      </c>
      <c r="C5" s="3">
        <v>445</v>
      </c>
      <c r="D5" s="3">
        <v>38</v>
      </c>
      <c r="E5" s="3">
        <v>143</v>
      </c>
      <c r="F5" s="3">
        <v>362</v>
      </c>
      <c r="G5" s="6">
        <v>0.70520432799999999</v>
      </c>
      <c r="H5" s="6">
        <v>0.79216043999999997</v>
      </c>
      <c r="I5" s="6">
        <v>385</v>
      </c>
      <c r="J5" s="6">
        <v>98</v>
      </c>
      <c r="K5" s="6">
        <v>193</v>
      </c>
      <c r="L5" s="6">
        <v>312</v>
      </c>
      <c r="M5" s="9">
        <v>0.83198380599999999</v>
      </c>
      <c r="N5" s="9">
        <v>0.92859397700000001</v>
      </c>
      <c r="O5" s="9">
        <v>445</v>
      </c>
      <c r="P5" s="9">
        <v>38</v>
      </c>
      <c r="Q5" s="9">
        <v>128</v>
      </c>
      <c r="R5" s="9">
        <v>377</v>
      </c>
    </row>
    <row r="6" spans="1:18" ht="21" x14ac:dyDescent="0.5">
      <c r="A6" s="3">
        <v>0.82998512999999996</v>
      </c>
      <c r="B6" s="3">
        <v>0.92167074999999998</v>
      </c>
      <c r="C6" s="3">
        <v>440</v>
      </c>
      <c r="D6" s="3">
        <v>43</v>
      </c>
      <c r="E6" s="3">
        <v>125</v>
      </c>
      <c r="F6" s="3">
        <v>380</v>
      </c>
      <c r="G6" s="6">
        <v>0.74395221199999995</v>
      </c>
      <c r="H6" s="6">
        <v>0.83758495399999999</v>
      </c>
      <c r="I6" s="6">
        <v>417</v>
      </c>
      <c r="J6" s="6">
        <v>66</v>
      </c>
      <c r="K6" s="6">
        <v>187</v>
      </c>
      <c r="L6" s="6">
        <v>318</v>
      </c>
      <c r="M6" s="9">
        <v>0.85627530399999996</v>
      </c>
      <c r="N6" s="9">
        <v>0.93284545799999996</v>
      </c>
      <c r="O6" s="9">
        <v>453</v>
      </c>
      <c r="P6" s="9">
        <v>30</v>
      </c>
      <c r="Q6" s="9">
        <v>112</v>
      </c>
      <c r="R6" s="9">
        <v>393</v>
      </c>
    </row>
    <row r="7" spans="1:18" ht="21" x14ac:dyDescent="0.5">
      <c r="A7" s="4">
        <f>AVERAGE(A2:A6)</f>
        <v>0.83178690440000003</v>
      </c>
      <c r="B7" s="4">
        <f t="shared" ref="B7:R7" si="0">AVERAGE(B2:B6)</f>
        <v>0.92605482979999998</v>
      </c>
      <c r="C7" s="4">
        <f t="shared" si="0"/>
        <v>435.8</v>
      </c>
      <c r="D7" s="4">
        <f t="shared" si="0"/>
        <v>47.2</v>
      </c>
      <c r="E7" s="4">
        <f t="shared" si="0"/>
        <v>119</v>
      </c>
      <c r="F7" s="4">
        <f t="shared" si="0"/>
        <v>386</v>
      </c>
      <c r="G7" s="7">
        <f t="shared" si="0"/>
        <v>0.6986391837999999</v>
      </c>
      <c r="H7" s="7">
        <f t="shared" si="0"/>
        <v>0.78275726420000002</v>
      </c>
      <c r="I7" s="7">
        <f t="shared" si="0"/>
        <v>359.2</v>
      </c>
      <c r="J7" s="7">
        <f t="shared" si="0"/>
        <v>123.8</v>
      </c>
      <c r="K7" s="7">
        <f t="shared" si="0"/>
        <v>173.8</v>
      </c>
      <c r="L7" s="7">
        <f t="shared" si="0"/>
        <v>331.2</v>
      </c>
      <c r="M7" s="10">
        <f t="shared" si="0"/>
        <v>0.84878542539999979</v>
      </c>
      <c r="N7" s="10">
        <f t="shared" si="0"/>
        <v>0.92517967300000004</v>
      </c>
      <c r="O7" s="10">
        <f t="shared" si="0"/>
        <v>440.2</v>
      </c>
      <c r="P7" s="10">
        <f t="shared" si="0"/>
        <v>42.8</v>
      </c>
      <c r="Q7" s="10">
        <f t="shared" si="0"/>
        <v>106.6</v>
      </c>
      <c r="R7" s="10">
        <f t="shared" si="0"/>
        <v>398.4</v>
      </c>
    </row>
    <row r="8" spans="1:18" x14ac:dyDescent="0.35">
      <c r="A8">
        <f>STDEV(A2:A6)</f>
        <v>1.2258491404717121E-2</v>
      </c>
      <c r="B8">
        <f t="shared" ref="B8:R8" si="1">STDEV(B2:B6)</f>
        <v>5.2534364595860483E-3</v>
      </c>
      <c r="C8">
        <f t="shared" si="1"/>
        <v>9.7826376811164799</v>
      </c>
      <c r="D8">
        <f t="shared" si="1"/>
        <v>9.7826376811164693</v>
      </c>
      <c r="E8">
        <f t="shared" si="1"/>
        <v>19.222382786741086</v>
      </c>
      <c r="F8">
        <f t="shared" si="1"/>
        <v>19.222382786741086</v>
      </c>
      <c r="G8">
        <f t="shared" si="1"/>
        <v>3.8108612897403388E-2</v>
      </c>
      <c r="H8">
        <f t="shared" si="1"/>
        <v>4.6604831772064481E-2</v>
      </c>
      <c r="I8">
        <f t="shared" si="1"/>
        <v>40.953632317537007</v>
      </c>
      <c r="J8">
        <f t="shared" si="1"/>
        <v>40.953632317536872</v>
      </c>
      <c r="K8">
        <f t="shared" si="1"/>
        <v>24.190907382733645</v>
      </c>
      <c r="L8">
        <f t="shared" si="1"/>
        <v>24.190907382733705</v>
      </c>
      <c r="M8">
        <f t="shared" si="1"/>
        <v>1.0985395539125708E-2</v>
      </c>
      <c r="N8">
        <f t="shared" si="1"/>
        <v>6.1082803574981906E-3</v>
      </c>
      <c r="O8">
        <f t="shared" si="1"/>
        <v>9.8590060350929889</v>
      </c>
      <c r="P8">
        <f t="shared" si="1"/>
        <v>9.85900603509298</v>
      </c>
      <c r="Q8">
        <f t="shared" si="1"/>
        <v>16.211107303327534</v>
      </c>
      <c r="R8">
        <f t="shared" si="1"/>
        <v>16.211107303327555</v>
      </c>
    </row>
    <row r="14" spans="1:18" x14ac:dyDescent="0.35">
      <c r="A14" s="13" t="s">
        <v>25</v>
      </c>
      <c r="B14" s="11" t="s">
        <v>18</v>
      </c>
      <c r="C14" s="11" t="s">
        <v>19</v>
      </c>
      <c r="D14" s="11" t="s">
        <v>19</v>
      </c>
      <c r="E14" s="11" t="s">
        <v>19</v>
      </c>
      <c r="F14" s="11" t="s">
        <v>19</v>
      </c>
      <c r="G14" s="11" t="s">
        <v>19</v>
      </c>
    </row>
    <row r="15" spans="1:18" x14ac:dyDescent="0.35">
      <c r="A15" s="13"/>
      <c r="B15" s="12" t="s">
        <v>20</v>
      </c>
      <c r="C15" s="12">
        <v>0.87009999999999998</v>
      </c>
      <c r="D15" s="12">
        <v>0.90500000000000003</v>
      </c>
      <c r="E15" s="12">
        <v>0.88</v>
      </c>
      <c r="F15" s="12">
        <v>0.90500000000000003</v>
      </c>
      <c r="G15" s="12">
        <v>0.89870000000000005</v>
      </c>
      <c r="H15">
        <f>AVERAGE(C15:G15)</f>
        <v>0.89176</v>
      </c>
      <c r="I15">
        <f>STDEV(C15:G15)</f>
        <v>1.5860422440780092E-2</v>
      </c>
      <c r="J15" s="13" t="s">
        <v>27</v>
      </c>
      <c r="K15" s="11" t="s">
        <v>18</v>
      </c>
      <c r="L15" s="11" t="s">
        <v>19</v>
      </c>
      <c r="M15" s="11" t="s">
        <v>19</v>
      </c>
      <c r="N15" s="11" t="s">
        <v>19</v>
      </c>
      <c r="O15" s="11" t="s">
        <v>19</v>
      </c>
      <c r="P15" s="11" t="s">
        <v>19</v>
      </c>
    </row>
    <row r="16" spans="1:18" x14ac:dyDescent="0.35">
      <c r="A16" s="13"/>
      <c r="B16" s="12" t="s">
        <v>21</v>
      </c>
      <c r="C16" s="12">
        <v>0.82189999999999996</v>
      </c>
      <c r="D16" s="12">
        <v>0.77259999999999995</v>
      </c>
      <c r="E16" s="12">
        <v>0.75890000000000002</v>
      </c>
      <c r="F16" s="12">
        <v>0.71709999999999996</v>
      </c>
      <c r="G16" s="12">
        <v>0.75229999999999997</v>
      </c>
      <c r="H16">
        <f t="shared" ref="H16:H19" si="2">AVERAGE(C16:G16)</f>
        <v>0.76456000000000002</v>
      </c>
      <c r="I16">
        <f t="shared" ref="I16:I19" si="3">STDEV(C16:G16)</f>
        <v>3.8037192325406984E-2</v>
      </c>
      <c r="J16" s="13"/>
      <c r="K16" s="12" t="s">
        <v>20</v>
      </c>
      <c r="L16" s="12">
        <v>0.88329999999999997</v>
      </c>
      <c r="M16" s="12">
        <v>0.9052</v>
      </c>
      <c r="N16" s="12">
        <v>0.89259999999999995</v>
      </c>
      <c r="O16" s="12">
        <v>0.90839999999999999</v>
      </c>
      <c r="P16" s="12">
        <v>0.92889999999999995</v>
      </c>
      <c r="Q16">
        <f>AVERAGE(L16:P16)</f>
        <v>0.90367999999999993</v>
      </c>
      <c r="R16">
        <f>STDEV(L16:P16)</f>
        <v>1.7311470185977847E-2</v>
      </c>
    </row>
    <row r="17" spans="1:18" x14ac:dyDescent="0.35">
      <c r="A17" s="13"/>
      <c r="B17" s="12" t="s">
        <v>22</v>
      </c>
      <c r="C17" s="12">
        <v>0.87190000000000001</v>
      </c>
      <c r="D17" s="12">
        <v>0.91449999999999998</v>
      </c>
      <c r="E17" s="12">
        <v>0.89229999999999998</v>
      </c>
      <c r="F17" s="12">
        <v>0.92130000000000001</v>
      </c>
      <c r="G17" s="12">
        <v>0.91100000000000003</v>
      </c>
      <c r="H17">
        <f t="shared" si="2"/>
        <v>0.9022</v>
      </c>
      <c r="I17">
        <f t="shared" si="3"/>
        <v>2.0060159520801424E-2</v>
      </c>
      <c r="J17" s="13"/>
      <c r="K17" s="12" t="s">
        <v>21</v>
      </c>
      <c r="L17" s="12">
        <v>0.83560000000000001</v>
      </c>
      <c r="M17" s="12">
        <v>0.79410000000000003</v>
      </c>
      <c r="N17" s="12">
        <v>0.79090000000000005</v>
      </c>
      <c r="O17" s="12">
        <v>0.74609999999999999</v>
      </c>
      <c r="P17" s="12">
        <v>0.77800000000000002</v>
      </c>
      <c r="Q17">
        <f t="shared" ref="Q17:Q20" si="4">AVERAGE(L17:P17)</f>
        <v>0.78894000000000009</v>
      </c>
      <c r="R17">
        <f t="shared" ref="R17:R20" si="5">STDEV(L17:P17)</f>
        <v>3.2258998744536395E-2</v>
      </c>
    </row>
    <row r="18" spans="1:18" x14ac:dyDescent="0.35">
      <c r="A18" s="13"/>
      <c r="B18" s="12" t="s">
        <v>23</v>
      </c>
      <c r="C18" s="12">
        <v>0.84550000000000003</v>
      </c>
      <c r="D18" s="12">
        <v>0.83260000000000001</v>
      </c>
      <c r="E18" s="12">
        <v>0.8155</v>
      </c>
      <c r="F18" s="12">
        <v>0.80279999999999996</v>
      </c>
      <c r="G18" s="12">
        <v>0.81899999999999995</v>
      </c>
      <c r="H18">
        <f t="shared" si="2"/>
        <v>0.82308000000000003</v>
      </c>
      <c r="I18">
        <f t="shared" si="3"/>
        <v>1.6421540731612273E-2</v>
      </c>
      <c r="J18" s="13"/>
      <c r="K18" s="12" t="s">
        <v>22</v>
      </c>
      <c r="L18" s="12">
        <v>0.8841</v>
      </c>
      <c r="M18" s="12">
        <v>0.91310000000000002</v>
      </c>
      <c r="N18" s="12">
        <v>0.9002</v>
      </c>
      <c r="O18" s="12">
        <v>0.92130000000000001</v>
      </c>
      <c r="P18" s="12">
        <v>0.93779999999999997</v>
      </c>
      <c r="Q18">
        <f t="shared" si="4"/>
        <v>0.9113</v>
      </c>
      <c r="R18">
        <f t="shared" si="5"/>
        <v>2.0423883078396227E-2</v>
      </c>
    </row>
    <row r="19" spans="1:18" x14ac:dyDescent="0.35">
      <c r="A19" s="13"/>
      <c r="B19" s="12" t="s">
        <v>24</v>
      </c>
      <c r="C19" s="12">
        <v>0.82299999999999995</v>
      </c>
      <c r="D19" s="12">
        <v>0.79339999999999999</v>
      </c>
      <c r="E19" s="12">
        <v>0.77929999999999999</v>
      </c>
      <c r="F19" s="12">
        <v>0.75660000000000005</v>
      </c>
      <c r="G19" s="12">
        <v>0.77890000000000004</v>
      </c>
      <c r="H19">
        <f t="shared" si="2"/>
        <v>0.78624000000000005</v>
      </c>
      <c r="I19">
        <f t="shared" si="3"/>
        <v>2.4408666493686178E-2</v>
      </c>
      <c r="J19" s="13"/>
      <c r="K19" s="12" t="s">
        <v>23</v>
      </c>
      <c r="L19" s="12">
        <v>0.8589</v>
      </c>
      <c r="M19" s="12">
        <v>0.84599999999999997</v>
      </c>
      <c r="N19" s="12">
        <v>0.83850000000000002</v>
      </c>
      <c r="O19" s="12">
        <v>0.81859999999999999</v>
      </c>
      <c r="P19" s="12">
        <v>0.84689999999999999</v>
      </c>
      <c r="Q19">
        <f t="shared" si="4"/>
        <v>0.84177999999999997</v>
      </c>
      <c r="R19">
        <f t="shared" si="5"/>
        <v>1.4876054584465597E-2</v>
      </c>
    </row>
    <row r="20" spans="1:18" x14ac:dyDescent="0.35">
      <c r="A20" s="13"/>
      <c r="J20" s="13"/>
      <c r="K20" s="12" t="s">
        <v>24</v>
      </c>
      <c r="L20" s="12">
        <v>0.83760000000000001</v>
      </c>
      <c r="M20" s="12">
        <v>0.80910000000000004</v>
      </c>
      <c r="N20" s="12">
        <v>0.80359999999999998</v>
      </c>
      <c r="O20" s="12">
        <v>0.77629999999999999</v>
      </c>
      <c r="P20" s="12">
        <v>0.80179999999999996</v>
      </c>
      <c r="Q20">
        <f t="shared" si="4"/>
        <v>0.80567999999999995</v>
      </c>
      <c r="R20">
        <f t="shared" si="5"/>
        <v>2.186977366138023E-2</v>
      </c>
    </row>
    <row r="24" spans="1:18" x14ac:dyDescent="0.35">
      <c r="A24" s="13" t="s">
        <v>26</v>
      </c>
      <c r="B24" s="11" t="s">
        <v>18</v>
      </c>
      <c r="C24" s="11" t="s">
        <v>19</v>
      </c>
      <c r="D24" s="11" t="s">
        <v>19</v>
      </c>
      <c r="E24" s="11" t="s">
        <v>19</v>
      </c>
      <c r="F24" s="11" t="s">
        <v>19</v>
      </c>
      <c r="G24" s="11" t="s">
        <v>19</v>
      </c>
    </row>
    <row r="25" spans="1:18" x14ac:dyDescent="0.35">
      <c r="A25" s="13"/>
      <c r="B25" s="12" t="s">
        <v>20</v>
      </c>
      <c r="C25" s="12">
        <v>0.66469999999999996</v>
      </c>
      <c r="D25" s="12">
        <v>0.72750000000000004</v>
      </c>
      <c r="E25" s="12">
        <v>0.68459999999999999</v>
      </c>
      <c r="F25" s="12">
        <v>0.76190000000000002</v>
      </c>
      <c r="G25" s="12">
        <v>0.82809999999999995</v>
      </c>
      <c r="H25">
        <f>AVERAGE(C25:G25)</f>
        <v>0.73336000000000001</v>
      </c>
      <c r="I25">
        <f>STDEV(C25:G25)</f>
        <v>6.5031284778943127E-2</v>
      </c>
    </row>
    <row r="26" spans="1:18" x14ac:dyDescent="0.35">
      <c r="A26" s="13"/>
      <c r="B26" s="12" t="s">
        <v>21</v>
      </c>
      <c r="C26" s="12">
        <v>0.61699999999999999</v>
      </c>
      <c r="D26" s="12">
        <v>0.72</v>
      </c>
      <c r="E26" s="12">
        <v>0.69310000000000005</v>
      </c>
      <c r="F26" s="12">
        <v>0.61699999999999999</v>
      </c>
      <c r="G26" s="12">
        <v>0.62909999999999999</v>
      </c>
      <c r="H26">
        <f t="shared" ref="H26:H29" si="6">AVERAGE(C26:G26)</f>
        <v>0.65524000000000004</v>
      </c>
      <c r="I26">
        <f t="shared" ref="I26:I29" si="7">STDEV(C26:G26)</f>
        <v>4.804979708593992E-2</v>
      </c>
    </row>
    <row r="27" spans="1:18" x14ac:dyDescent="0.35">
      <c r="A27" s="13"/>
      <c r="B27" s="12" t="s">
        <v>22</v>
      </c>
      <c r="C27" s="12">
        <v>0.67259999999999998</v>
      </c>
      <c r="D27" s="12">
        <v>0.71830000000000005</v>
      </c>
      <c r="E27" s="12">
        <v>0.66669999999999996</v>
      </c>
      <c r="F27" s="12">
        <v>0.79659999999999997</v>
      </c>
      <c r="G27" s="12">
        <v>0.86370000000000002</v>
      </c>
      <c r="H27">
        <f t="shared" si="6"/>
        <v>0.74357999999999991</v>
      </c>
      <c r="I27">
        <f t="shared" si="7"/>
        <v>8.4893621668533731E-2</v>
      </c>
    </row>
    <row r="28" spans="1:18" x14ac:dyDescent="0.35">
      <c r="A28" s="13"/>
      <c r="B28" s="12" t="s">
        <v>23</v>
      </c>
      <c r="C28" s="12">
        <v>0.64019999999999999</v>
      </c>
      <c r="D28" s="12">
        <v>0.72370000000000001</v>
      </c>
      <c r="E28" s="12">
        <v>0.68879999999999997</v>
      </c>
      <c r="F28" s="12">
        <v>0.68210000000000004</v>
      </c>
      <c r="G28" s="12">
        <v>0.71519999999999995</v>
      </c>
      <c r="H28">
        <f t="shared" si="6"/>
        <v>0.69000000000000006</v>
      </c>
      <c r="I28">
        <f t="shared" si="7"/>
        <v>3.2842883551844219E-2</v>
      </c>
    </row>
    <row r="29" spans="1:18" x14ac:dyDescent="0.35">
      <c r="A29" s="13"/>
      <c r="B29" s="12" t="s">
        <v>24</v>
      </c>
      <c r="C29" s="12">
        <v>0.62790000000000001</v>
      </c>
      <c r="D29" s="12">
        <v>0.71099999999999997</v>
      </c>
      <c r="E29" s="12">
        <v>0.67430000000000001</v>
      </c>
      <c r="F29" s="12">
        <v>0.66549999999999998</v>
      </c>
      <c r="G29" s="12">
        <v>0.69020000000000004</v>
      </c>
      <c r="H29">
        <f t="shared" si="6"/>
        <v>0.67378000000000005</v>
      </c>
      <c r="I29">
        <f t="shared" si="7"/>
        <v>3.0938438874642649E-2</v>
      </c>
    </row>
  </sheetData>
  <mergeCells count="3">
    <mergeCell ref="A14:A20"/>
    <mergeCell ref="A24:A29"/>
    <mergeCell ref="J15:J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FINAL_CURATED_TABNET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DWIVEDI Kountay</dc:creator>
  <cp:lastModifiedBy>DWIVEDI Kountay</cp:lastModifiedBy>
  <dcterms:created xsi:type="dcterms:W3CDTF">2025-11-13T15:01:47Z</dcterms:created>
  <dcterms:modified xsi:type="dcterms:W3CDTF">2025-11-20T11:37:51Z</dcterms:modified>
</cp:coreProperties>
</file>