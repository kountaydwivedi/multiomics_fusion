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4" i="1" l="1"/>
  <c r="I34" i="1"/>
  <c r="I25" i="1"/>
  <c r="G25" i="1"/>
  <c r="I16" i="1"/>
  <c r="G16" i="1"/>
  <c r="I8" i="1"/>
  <c r="G8" i="1"/>
  <c r="I7" i="1" l="1"/>
  <c r="I15" i="1"/>
  <c r="I24" i="1"/>
  <c r="I33" i="1"/>
  <c r="G33" i="1"/>
  <c r="G24" i="1"/>
  <c r="G15" i="1"/>
  <c r="G7" i="1"/>
</calcChain>
</file>

<file path=xl/sharedStrings.xml><?xml version="1.0" encoding="utf-8"?>
<sst xmlns="http://schemas.openxmlformats.org/spreadsheetml/2006/main" count="125" uniqueCount="11">
  <si>
    <t>JOINT_OMICS</t>
  </si>
  <si>
    <t>results</t>
  </si>
  <si>
    <t>for</t>
  </si>
  <si>
    <t>seed:</t>
  </si>
  <si>
    <t>Acc</t>
  </si>
  <si>
    <t>AUROC:</t>
  </si>
  <si>
    <t>using XGBoost</t>
  </si>
  <si>
    <t>using MLP</t>
  </si>
  <si>
    <t>using SVC</t>
  </si>
  <si>
    <t>using TABNET</t>
  </si>
  <si>
    <t>Joint omics: comment by reviewer 2 where they ask to utilize full feature set of both the omics and perform an "early" 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</si>
</sst>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H8" sqref="H8"/>
    </sheetView>
  </sheetViews>
  <sheetFormatPr defaultRowHeight="14.5" x14ac:dyDescent="0.35"/>
  <cols>
    <col min="1" max="1" width="12.26953125" bestFit="1" customWidth="1"/>
    <col min="6" max="6" width="3.6328125" bestFit="1" customWidth="1"/>
  </cols>
  <sheetData>
    <row r="1" spans="1:12" ht="21" x14ac:dyDescent="0.5">
      <c r="A1" s="3" t="s">
        <v>6</v>
      </c>
      <c r="B1" s="3"/>
      <c r="C1" s="3"/>
      <c r="D1" s="3"/>
      <c r="E1" s="3"/>
      <c r="F1" s="3"/>
      <c r="G1" s="3"/>
      <c r="H1" s="3"/>
      <c r="I1" s="3"/>
    </row>
    <row r="2" spans="1:12" x14ac:dyDescent="0.35">
      <c r="A2" t="s">
        <v>0</v>
      </c>
      <c r="B2" t="s">
        <v>1</v>
      </c>
      <c r="C2" t="s">
        <v>2</v>
      </c>
      <c r="D2" t="s">
        <v>3</v>
      </c>
      <c r="E2" s="1">
        <v>4.1666666666666664E-2</v>
      </c>
      <c r="F2" t="s">
        <v>4</v>
      </c>
      <c r="G2">
        <v>0.92307692307692302</v>
      </c>
      <c r="H2" t="s">
        <v>5</v>
      </c>
      <c r="I2">
        <v>0.97420002869852196</v>
      </c>
    </row>
    <row r="3" spans="1:12" x14ac:dyDescent="0.35">
      <c r="A3" t="s">
        <v>0</v>
      </c>
      <c r="B3" t="s">
        <v>1</v>
      </c>
      <c r="C3" t="s">
        <v>2</v>
      </c>
      <c r="D3" t="s">
        <v>3</v>
      </c>
      <c r="E3" s="1">
        <v>8.3333333333333329E-2</v>
      </c>
      <c r="F3" t="s">
        <v>4</v>
      </c>
      <c r="G3">
        <v>0.91953441295546501</v>
      </c>
      <c r="H3" t="s">
        <v>5</v>
      </c>
      <c r="I3">
        <v>0.973134083594694</v>
      </c>
    </row>
    <row r="4" spans="1:12" x14ac:dyDescent="0.35">
      <c r="A4" t="s">
        <v>0</v>
      </c>
      <c r="B4" t="s">
        <v>1</v>
      </c>
      <c r="C4" t="s">
        <v>2</v>
      </c>
      <c r="D4" t="s">
        <v>3</v>
      </c>
      <c r="E4" s="1">
        <v>0.125</v>
      </c>
      <c r="F4" t="s">
        <v>4</v>
      </c>
      <c r="G4">
        <v>0.92004048582995901</v>
      </c>
      <c r="H4" t="s">
        <v>5</v>
      </c>
      <c r="I4">
        <v>0.97367986798679795</v>
      </c>
    </row>
    <row r="5" spans="1:12" x14ac:dyDescent="0.35">
      <c r="A5" t="s">
        <v>0</v>
      </c>
      <c r="B5" t="s">
        <v>1</v>
      </c>
      <c r="C5" t="s">
        <v>2</v>
      </c>
      <c r="D5" t="s">
        <v>3</v>
      </c>
      <c r="E5" s="1">
        <v>0.16666666666666666</v>
      </c>
      <c r="F5" t="s">
        <v>4</v>
      </c>
      <c r="G5">
        <v>0.92408906882591002</v>
      </c>
      <c r="H5" t="s">
        <v>5</v>
      </c>
      <c r="I5">
        <v>0.97232488776827997</v>
      </c>
      <c r="L5" t="s">
        <v>10</v>
      </c>
    </row>
    <row r="6" spans="1:12" x14ac:dyDescent="0.35">
      <c r="A6" t="s">
        <v>0</v>
      </c>
      <c r="B6" t="s">
        <v>1</v>
      </c>
      <c r="C6" t="s">
        <v>2</v>
      </c>
      <c r="D6" t="s">
        <v>3</v>
      </c>
      <c r="E6" s="1">
        <v>0.20833333333333334</v>
      </c>
      <c r="F6" t="s">
        <v>4</v>
      </c>
      <c r="G6">
        <v>0.92510121457489802</v>
      </c>
      <c r="H6" t="s">
        <v>5</v>
      </c>
      <c r="I6">
        <v>0.97358967263185903</v>
      </c>
    </row>
    <row r="7" spans="1:12" x14ac:dyDescent="0.35">
      <c r="G7" s="2">
        <f>AVERAGE(G2:G6)</f>
        <v>0.92236842105263095</v>
      </c>
      <c r="I7" s="2">
        <f>AVERAGE(I2:I6)</f>
        <v>0.97338570813603054</v>
      </c>
    </row>
    <row r="8" spans="1:12" x14ac:dyDescent="0.35">
      <c r="G8">
        <f>STDEV(G2:G6)</f>
        <v>2.4688888497267267E-3</v>
      </c>
      <c r="I8">
        <f t="shared" ref="H8:I8" si="0">STDEV(I2:I6)</f>
        <v>7.0354535644400742E-4</v>
      </c>
    </row>
    <row r="9" spans="1:12" ht="21" x14ac:dyDescent="0.5">
      <c r="A9" s="3" t="s">
        <v>7</v>
      </c>
      <c r="B9" s="3"/>
      <c r="C9" s="3"/>
      <c r="D9" s="3"/>
      <c r="E9" s="3"/>
      <c r="F9" s="3"/>
      <c r="G9" s="3"/>
      <c r="H9" s="3"/>
      <c r="I9" s="3"/>
    </row>
    <row r="10" spans="1:12" x14ac:dyDescent="0.35">
      <c r="A10" t="s">
        <v>0</v>
      </c>
      <c r="B10" t="s">
        <v>1</v>
      </c>
      <c r="C10" t="s">
        <v>2</v>
      </c>
      <c r="D10" t="s">
        <v>3</v>
      </c>
      <c r="E10" s="1">
        <v>4.1666666666666664E-2</v>
      </c>
      <c r="F10" t="s">
        <v>4</v>
      </c>
      <c r="G10">
        <v>0.92611336032388603</v>
      </c>
      <c r="H10" t="s">
        <v>5</v>
      </c>
      <c r="I10">
        <v>0.96539419469897203</v>
      </c>
    </row>
    <row r="11" spans="1:12" x14ac:dyDescent="0.35">
      <c r="A11" t="s">
        <v>0</v>
      </c>
      <c r="B11" t="s">
        <v>1</v>
      </c>
      <c r="C11" t="s">
        <v>2</v>
      </c>
      <c r="D11" t="s">
        <v>3</v>
      </c>
      <c r="E11" s="1">
        <v>8.3333333333333329E-2</v>
      </c>
      <c r="F11" t="s">
        <v>4</v>
      </c>
      <c r="G11">
        <v>0.93016194331983804</v>
      </c>
      <c r="H11" t="s">
        <v>5</v>
      </c>
      <c r="I11">
        <v>0.96355543939487098</v>
      </c>
    </row>
    <row r="12" spans="1:12" x14ac:dyDescent="0.35">
      <c r="A12" t="s">
        <v>0</v>
      </c>
      <c r="B12" t="s">
        <v>1</v>
      </c>
      <c r="C12" t="s">
        <v>2</v>
      </c>
      <c r="D12" t="s">
        <v>3</v>
      </c>
      <c r="E12" s="1">
        <v>0.125</v>
      </c>
      <c r="F12" t="s">
        <v>4</v>
      </c>
      <c r="G12">
        <v>0.88157894736842102</v>
      </c>
      <c r="H12" t="s">
        <v>5</v>
      </c>
      <c r="I12">
        <v>0.95419408400467298</v>
      </c>
    </row>
    <row r="13" spans="1:12" x14ac:dyDescent="0.35">
      <c r="A13" t="s">
        <v>0</v>
      </c>
      <c r="B13" t="s">
        <v>1</v>
      </c>
      <c r="C13" t="s">
        <v>2</v>
      </c>
      <c r="D13" t="s">
        <v>3</v>
      </c>
      <c r="E13" s="1">
        <v>0.16666666666666666</v>
      </c>
      <c r="F13" t="s">
        <v>4</v>
      </c>
      <c r="G13">
        <v>0.873481781376518</v>
      </c>
      <c r="H13" t="s">
        <v>5</v>
      </c>
      <c r="I13">
        <v>0.94574646905684301</v>
      </c>
    </row>
    <row r="14" spans="1:12" x14ac:dyDescent="0.35">
      <c r="A14" t="s">
        <v>0</v>
      </c>
      <c r="B14" t="s">
        <v>1</v>
      </c>
      <c r="C14" t="s">
        <v>2</v>
      </c>
      <c r="D14" t="s">
        <v>3</v>
      </c>
      <c r="E14" s="1">
        <v>0.20833333333333334</v>
      </c>
      <c r="F14" t="s">
        <v>4</v>
      </c>
      <c r="G14">
        <v>0.91852226720647701</v>
      </c>
      <c r="H14" t="s">
        <v>5</v>
      </c>
      <c r="I14">
        <v>0.96023102310231001</v>
      </c>
    </row>
    <row r="15" spans="1:12" x14ac:dyDescent="0.35">
      <c r="G15" s="2">
        <f>AVERAGE(G10:G14)</f>
        <v>0.90597165991902795</v>
      </c>
      <c r="I15" s="2">
        <f>AVERAGE(I10:I14)</f>
        <v>0.95782424205153371</v>
      </c>
    </row>
    <row r="16" spans="1:12" x14ac:dyDescent="0.35">
      <c r="G16">
        <f>STDEV(G10:G14)</f>
        <v>2.6452657157542428E-2</v>
      </c>
      <c r="I16">
        <f>STDEV(I10:I14)</f>
        <v>7.9842665451433023E-3</v>
      </c>
    </row>
    <row r="18" spans="1:9" ht="21" x14ac:dyDescent="0.5">
      <c r="A18" s="3" t="s">
        <v>8</v>
      </c>
      <c r="B18" s="3"/>
      <c r="C18" s="3"/>
      <c r="D18" s="3"/>
      <c r="E18" s="3"/>
      <c r="F18" s="3"/>
      <c r="G18" s="3"/>
      <c r="H18" s="3"/>
      <c r="I18" s="3"/>
    </row>
    <row r="19" spans="1:9" x14ac:dyDescent="0.35">
      <c r="A19" t="s">
        <v>0</v>
      </c>
      <c r="B19" t="s">
        <v>1</v>
      </c>
      <c r="C19" t="s">
        <v>2</v>
      </c>
      <c r="D19" t="s">
        <v>3</v>
      </c>
      <c r="E19" s="1">
        <v>4.1666666666666664E-2</v>
      </c>
      <c r="F19" t="s">
        <v>4</v>
      </c>
      <c r="G19">
        <v>0.88056680161943301</v>
      </c>
      <c r="H19" t="s">
        <v>5</v>
      </c>
      <c r="I19">
        <v>0.97242072033290206</v>
      </c>
    </row>
    <row r="20" spans="1:9" x14ac:dyDescent="0.35">
      <c r="A20" t="s">
        <v>0</v>
      </c>
      <c r="B20" t="s">
        <v>1</v>
      </c>
      <c r="C20" t="s">
        <v>2</v>
      </c>
      <c r="D20" t="s">
        <v>3</v>
      </c>
      <c r="E20" s="1">
        <v>8.3333333333333329E-2</v>
      </c>
      <c r="F20" t="s">
        <v>4</v>
      </c>
      <c r="G20">
        <v>0.88157894736842102</v>
      </c>
      <c r="H20" t="s">
        <v>5</v>
      </c>
      <c r="I20">
        <v>0.97264569624664299</v>
      </c>
    </row>
    <row r="21" spans="1:9" x14ac:dyDescent="0.35">
      <c r="A21" t="s">
        <v>0</v>
      </c>
      <c r="B21" t="s">
        <v>1</v>
      </c>
      <c r="C21" t="s">
        <v>2</v>
      </c>
      <c r="D21" t="s">
        <v>3</v>
      </c>
      <c r="E21" s="1">
        <v>0.125</v>
      </c>
      <c r="F21" t="s">
        <v>4</v>
      </c>
      <c r="G21">
        <v>0.88208502024291502</v>
      </c>
      <c r="H21" t="s">
        <v>5</v>
      </c>
      <c r="I21">
        <v>0.97276305270278496</v>
      </c>
    </row>
    <row r="22" spans="1:9" x14ac:dyDescent="0.35">
      <c r="A22" t="s">
        <v>0</v>
      </c>
      <c r="B22" t="s">
        <v>1</v>
      </c>
      <c r="C22" t="s">
        <v>2</v>
      </c>
      <c r="D22" t="s">
        <v>3</v>
      </c>
      <c r="E22" s="1">
        <v>0.16666666666666666</v>
      </c>
      <c r="F22" t="s">
        <v>4</v>
      </c>
      <c r="G22">
        <v>0.88360323886639602</v>
      </c>
      <c r="H22" t="s">
        <v>5</v>
      </c>
      <c r="I22">
        <v>0.97232745013631705</v>
      </c>
    </row>
    <row r="23" spans="1:9" x14ac:dyDescent="0.35">
      <c r="A23" t="s">
        <v>0</v>
      </c>
      <c r="B23" t="s">
        <v>1</v>
      </c>
      <c r="C23" t="s">
        <v>2</v>
      </c>
      <c r="D23" t="s">
        <v>3</v>
      </c>
      <c r="E23" s="1">
        <v>0.20833333333333334</v>
      </c>
      <c r="F23" t="s">
        <v>4</v>
      </c>
      <c r="G23">
        <v>0.88309716599190202</v>
      </c>
      <c r="H23" t="s">
        <v>5</v>
      </c>
      <c r="I23">
        <v>0.97291884467949896</v>
      </c>
    </row>
    <row r="24" spans="1:9" x14ac:dyDescent="0.35">
      <c r="G24" s="2">
        <f>AVERAGE(G19:G23)</f>
        <v>0.88218623481781344</v>
      </c>
      <c r="I24" s="2">
        <f>AVERAGE(I19:I23)</f>
        <v>0.97261515281962918</v>
      </c>
    </row>
    <row r="25" spans="1:9" x14ac:dyDescent="0.35">
      <c r="G25">
        <f>STDEV(G19:G23)</f>
        <v>1.2082324277642019E-3</v>
      </c>
      <c r="I25">
        <f>STDEV(I19:I23)</f>
        <v>2.4269983930891916E-4</v>
      </c>
    </row>
    <row r="27" spans="1:9" ht="21" x14ac:dyDescent="0.5">
      <c r="A27" s="3" t="s">
        <v>9</v>
      </c>
      <c r="B27" s="3"/>
      <c r="C27" s="3"/>
      <c r="D27" s="3"/>
      <c r="E27" s="3"/>
      <c r="F27" s="3"/>
      <c r="G27" s="3"/>
      <c r="H27" s="3"/>
      <c r="I27" s="3"/>
    </row>
    <row r="28" spans="1:9" x14ac:dyDescent="0.35">
      <c r="A28" t="s">
        <v>0</v>
      </c>
      <c r="B28" t="s">
        <v>1</v>
      </c>
      <c r="C28" t="s">
        <v>2</v>
      </c>
      <c r="D28" t="s">
        <v>3</v>
      </c>
      <c r="E28" s="1">
        <v>4.1666666666666664E-2</v>
      </c>
      <c r="F28" t="s">
        <v>4</v>
      </c>
      <c r="G28">
        <v>0.82085538933640101</v>
      </c>
      <c r="H28" t="s">
        <v>5</v>
      </c>
      <c r="I28">
        <v>0.92771581762631095</v>
      </c>
    </row>
    <row r="29" spans="1:9" x14ac:dyDescent="0.35">
      <c r="A29" t="s">
        <v>0</v>
      </c>
      <c r="B29" t="s">
        <v>1</v>
      </c>
      <c r="C29" t="s">
        <v>2</v>
      </c>
      <c r="D29" t="s">
        <v>3</v>
      </c>
      <c r="E29" s="1">
        <v>8.3333333333333329E-2</v>
      </c>
      <c r="F29" t="s">
        <v>4</v>
      </c>
      <c r="G29">
        <v>0.87042961258151097</v>
      </c>
      <c r="H29" t="s">
        <v>5</v>
      </c>
      <c r="I29">
        <v>0.93741692100944496</v>
      </c>
    </row>
    <row r="30" spans="1:9" x14ac:dyDescent="0.35">
      <c r="A30" t="s">
        <v>0</v>
      </c>
      <c r="B30" t="s">
        <v>1</v>
      </c>
      <c r="C30" t="s">
        <v>2</v>
      </c>
      <c r="D30" t="s">
        <v>3</v>
      </c>
      <c r="E30" s="1">
        <v>0.125</v>
      </c>
      <c r="F30" t="s">
        <v>4</v>
      </c>
      <c r="G30">
        <v>0.86186932617312295</v>
      </c>
      <c r="H30" t="s">
        <v>5</v>
      </c>
      <c r="I30">
        <v>0.95226795661778596</v>
      </c>
    </row>
    <row r="31" spans="1:9" x14ac:dyDescent="0.35">
      <c r="A31" t="s">
        <v>0</v>
      </c>
      <c r="B31" t="s">
        <v>1</v>
      </c>
      <c r="C31" t="s">
        <v>2</v>
      </c>
      <c r="D31" t="s">
        <v>3</v>
      </c>
      <c r="E31" s="1">
        <v>0.16666666666666666</v>
      </c>
      <c r="F31" t="s">
        <v>4</v>
      </c>
      <c r="G31">
        <v>0.86942846183352496</v>
      </c>
      <c r="H31" t="s">
        <v>5</v>
      </c>
      <c r="I31">
        <v>0.95667126872400898</v>
      </c>
    </row>
    <row r="32" spans="1:9" x14ac:dyDescent="0.35">
      <c r="A32" t="s">
        <v>0</v>
      </c>
      <c r="B32" t="s">
        <v>1</v>
      </c>
      <c r="C32" t="s">
        <v>2</v>
      </c>
      <c r="D32" t="s">
        <v>3</v>
      </c>
      <c r="E32" s="1">
        <v>0.20833333333333334</v>
      </c>
      <c r="F32" t="s">
        <v>4</v>
      </c>
      <c r="G32">
        <v>0.80519498785321497</v>
      </c>
      <c r="H32" t="s">
        <v>5</v>
      </c>
      <c r="I32">
        <v>0.90364936712676602</v>
      </c>
    </row>
    <row r="33" spans="7:9" x14ac:dyDescent="0.35">
      <c r="G33" s="2">
        <f>AVERAGE(G28:G32)</f>
        <v>0.84555555555555484</v>
      </c>
      <c r="I33" s="2">
        <f>AVERAGE(I28:I32)</f>
        <v>0.93554426622086351</v>
      </c>
    </row>
    <row r="34" spans="7:9" x14ac:dyDescent="0.35">
      <c r="G34">
        <f>STDEV(G28:G32)</f>
        <v>3.0388513929439191E-2</v>
      </c>
      <c r="I34">
        <f>STDEV(I28:I32)</f>
        <v>2.1260927113119037E-2</v>
      </c>
    </row>
  </sheetData>
  <mergeCells count="4">
    <mergeCell ref="A1:I1"/>
    <mergeCell ref="A9:I9"/>
    <mergeCell ref="A18:I18"/>
    <mergeCell ref="A27:I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2025-11-24T14:51:46Z</dcterms:modified>
</cp:coreProperties>
</file>